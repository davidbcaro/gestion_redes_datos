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Informacion" sheetId="1" state="visible" r:id="rId3"/>
    <sheet name="2_Requerimientos" sheetId="2" state="visible" r:id="rId4"/>
    <sheet name="3_VLSM_IPv4" sheetId="3" state="visible" r:id="rId5"/>
    <sheet name="4_Tabla_IPv4" sheetId="4" state="visible" r:id="rId6"/>
    <sheet name="5_IPv6" sheetId="5" state="visible" r:id="rId7"/>
    <sheet name="6_Puertos_Switch" sheetId="6" state="visible" r:id="rId8"/>
    <sheet name="7_Verificacion" sheetId="7" state="visible" r:id="rId9"/>
    <sheet name="8_Resumen_Route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<sst xmlns="http://schemas.openxmlformats.org/spreadsheetml/2006/main" count="303" uniqueCount="220">
  <si>
    <t xml:space="preserve">SENA - Servicio Nacional de Aprendizaje</t>
  </si>
  <si>
    <t xml:space="preserve">Evidencia GA4-220501104-AA1-EV01</t>
  </si>
  <si>
    <t xml:space="preserve">Simulacion de subredes y direccionamiento IPv4 e IPv6</t>
  </si>
  <si>
    <t xml:space="preserve">  DATOS DE ENTREGA</t>
  </si>
  <si>
    <t xml:space="preserve">Aprendiz:</t>
  </si>
  <si>
    <t xml:space="preserve">(nombre completo)</t>
  </si>
  <si>
    <t xml:space="preserve">Documento:</t>
  </si>
  <si>
    <t xml:space="preserve">Ficha:</t>
  </si>
  <si>
    <t xml:space="preserve">Programa:</t>
  </si>
  <si>
    <t xml:space="preserve">Analisis y Desarrollo de Software</t>
  </si>
  <si>
    <t xml:space="preserve">Competencia:</t>
  </si>
  <si>
    <t xml:space="preserve">Implementar el esquema de subredes y direccionamiento IPv4 e IPv6</t>
  </si>
  <si>
    <t xml:space="preserve">Instructor:</t>
  </si>
  <si>
    <t xml:space="preserve">Fecha entrega:</t>
  </si>
  <si>
    <t xml:space="preserve">  PROYECTO</t>
  </si>
  <si>
    <t xml:space="preserve">Empresa:</t>
  </si>
  <si>
    <t xml:space="preserve">Enter Ltda.</t>
  </si>
  <si>
    <t xml:space="preserve">Sede:</t>
  </si>
  <si>
    <t xml:space="preserve">Principal (edificio unico)</t>
  </si>
  <si>
    <t xml:space="preserve">Herramienta:</t>
  </si>
  <si>
    <t xml:space="preserve">Cisco Packet Tracer</t>
  </si>
  <si>
    <t xml:space="preserve">Producto:</t>
  </si>
  <si>
    <t xml:space="preserve">Archivo .pkt + Tabla de direccionamiento (.xlsx)</t>
  </si>
  <si>
    <t xml:space="preserve">Red base IPv4:</t>
  </si>
  <si>
    <t xml:space="preserve">192.168.1.0/24</t>
  </si>
  <si>
    <t xml:space="preserve">Prefijo IPv6:</t>
  </si>
  <si>
    <t xml:space="preserve">2001:DB8:ACAD::/48</t>
  </si>
  <si>
    <t xml:space="preserve">  CONTENIDO DEL LIBRO</t>
  </si>
  <si>
    <t xml:space="preserve">1_Informacion</t>
  </si>
  <si>
    <t xml:space="preserve">Portada y datos de la entrega</t>
  </si>
  <si>
    <t xml:space="preserve">2_Requerimientos</t>
  </si>
  <si>
    <t xml:space="preserve">Tabla con las 4 VLANs y hosts requeridos</t>
  </si>
  <si>
    <t xml:space="preserve">3_VLSM_IPv4</t>
  </si>
  <si>
    <t xml:space="preserve">Calculos paso a paso de VLSM</t>
  </si>
  <si>
    <t xml:space="preserve">4_Tabla_IPv4</t>
  </si>
  <si>
    <t xml:space="preserve">Tabla final de direccionamiento IPv4</t>
  </si>
  <si>
    <t xml:space="preserve">5_IPv6</t>
  </si>
  <si>
    <t xml:space="preserve">Calculo y tabla de direccionamiento IPv6</t>
  </si>
  <si>
    <t xml:space="preserve">6_Puertos_Switch</t>
  </si>
  <si>
    <t xml:space="preserve">Asignacion de puertos VLAN en SW1</t>
  </si>
  <si>
    <t xml:space="preserve">7_Verificacion</t>
  </si>
  <si>
    <t xml:space="preserve">Matriz de pruebas ping IPv4 / IPv6</t>
  </si>
  <si>
    <t xml:space="preserve">8_Resumen_Router</t>
  </si>
  <si>
    <t xml:space="preserve">Resumen de configuracion de R1</t>
  </si>
  <si>
    <t xml:space="preserve">Requerimientos de la red - Enter Ltda.</t>
  </si>
  <si>
    <t xml:space="preserve">Edite la columna 'Hosts requeridos' si el escenario cambia. Los calculos de las demas hojas se ajustaran automaticamente.</t>
  </si>
  <si>
    <t xml:space="preserve">VLAN ID</t>
  </si>
  <si>
    <t xml:space="preserve">Nombre</t>
  </si>
  <si>
    <t xml:space="preserve">Hosts requeridos</t>
  </si>
  <si>
    <t xml:space="preserve">Hosts + 2 (red + bcast)</t>
  </si>
  <si>
    <t xml:space="preserve">Bits de host minimos</t>
  </si>
  <si>
    <t xml:space="preserve">Hosts disponibles (2^bits)</t>
  </si>
  <si>
    <t xml:space="preserve">Administrativa</t>
  </si>
  <si>
    <t xml:space="preserve">Financiera</t>
  </si>
  <si>
    <t xml:space="preserve">Tecnicos</t>
  </si>
  <si>
    <t xml:space="preserve">Visitantes</t>
  </si>
  <si>
    <t xml:space="preserve">Leyenda:</t>
  </si>
  <si>
    <t xml:space="preserve">Celdas AZULES = entradas del usuario.  Celdas NEGRAS = formulas automaticas.</t>
  </si>
  <si>
    <t xml:space="preserve">  EXPLICACION DE FORMULAS</t>
  </si>
  <si>
    <t xml:space="preserve">Hosts + 2</t>
  </si>
  <si>
    <t xml:space="preserve">Se agregan la direccion de red y la de broadcast que NO se asignan a dispositivos.</t>
  </si>
  <si>
    <t xml:space="preserve">Bits de host</t>
  </si>
  <si>
    <t xml:space="preserve">CEILING(LOG(hosts+2, 2)) = minimo numero de bits para representar todas las direcciones.</t>
  </si>
  <si>
    <t xml:space="preserve">Hosts disponibles</t>
  </si>
  <si>
    <t xml:space="preserve">2^bits = cantidad total de direcciones del bloque, incluyendo red y broadcast.</t>
  </si>
  <si>
    <t xml:space="preserve">Prefijo (/n)</t>
  </si>
  <si>
    <t xml:space="preserve">32 - bits de host. Se usa en las hojas 3_VLSM_IPv4 y 4_Tabla_IPv4.</t>
  </si>
  <si>
    <t xml:space="preserve">Calculo VLSM IPv4 - Red base 192.168.1.0/24</t>
  </si>
  <si>
    <t xml:space="preserve">VLSM asigna PRIMERO la subred que necesita mas hosts. Se ordena la tabla descendente por 'Hosts requeridos' y se acumula el ultimo octeto desde 0.</t>
  </si>
  <si>
    <t xml:space="preserve">  PARAMETROS DE RED BASE</t>
  </si>
  <si>
    <t xml:space="preserve">Red base</t>
  </si>
  <si>
    <t xml:space="preserve">Octeto inicial (4to)</t>
  </si>
  <si>
    <t xml:space="preserve">Orden</t>
  </si>
  <si>
    <t xml:space="preserve">VLAN</t>
  </si>
  <si>
    <t xml:space="preserve">Hosts req.</t>
  </si>
  <si>
    <t xml:space="preserve">Bits host</t>
  </si>
  <si>
    <t xml:space="preserve">Prefijo /</t>
  </si>
  <si>
    <t xml:space="preserve">Hosts disp.</t>
  </si>
  <si>
    <t xml:space="preserve">Red (oct4)</t>
  </si>
  <si>
    <t xml:space="preserve">Broadcast (oct4)</t>
  </si>
  <si>
    <t xml:space="preserve">1ra usable (oct4)</t>
  </si>
  <si>
    <t xml:space="preserve">Ultima usable (oct4)</t>
  </si>
  <si>
    <t xml:space="preserve">Red completa</t>
  </si>
  <si>
    <t xml:space="preserve">Mascara</t>
  </si>
  <si>
    <t xml:space="preserve">TOTALES</t>
  </si>
  <si>
    <t xml:space="preserve">Hosts asignados:</t>
  </si>
  <si>
    <t xml:space="preserve">Hosts totales bloque:</t>
  </si>
  <si>
    <t xml:space="preserve">  COMO SE LEE ESTA TABLA</t>
  </si>
  <si>
    <t xml:space="preserve">1. La tabla se ordena de MAYOR a MENOR por 'Hosts req.' (principio VLSM).</t>
  </si>
  <si>
    <t xml:space="preserve">2. 'Bits host' = CEILING(LOG2(hosts+2)). Es el minimo numero de bits para el bloque.</t>
  </si>
  <si>
    <t xml:space="preserve">3. 'Prefijo' = 32 - bits de host. Las VLAN pequenas reciben prefijos mas grandes (/27).</t>
  </si>
  <si>
    <t xml:space="preserve">4. 'Red (oct4)' comienza en 0 y cada siguiente VLAN parte del broadcast anterior + 1.</t>
  </si>
  <si>
    <t xml:space="preserve">5. 'Broadcast' = Red + Hosts disponibles - 1. El '1ra usable' y 'ultima usable' son el rango asignable.</t>
  </si>
  <si>
    <t xml:space="preserve">6. 'Red completa' concatena los tres primeros octetos fijos con el 4to calculado.</t>
  </si>
  <si>
    <t xml:space="preserve">Esta tabla toma los resultados de '3_VLSM_IPv4' y los ordena por VLAN ID. Es la que se entrega al instructor.</t>
  </si>
  <si>
    <t xml:space="preserve">Red</t>
  </si>
  <si>
    <t xml:space="preserve">Mascara decimal</t>
  </si>
  <si>
    <t xml:space="preserve">Prefijo</t>
  </si>
  <si>
    <t xml:space="preserve">Rango usable</t>
  </si>
  <si>
    <t xml:space="preserve">Broadcast</t>
  </si>
  <si>
    <t xml:space="preserve">Gateway</t>
  </si>
  <si>
    <t xml:space="preserve">TOTAL HOSTS ASIGNADOS</t>
  </si>
  <si>
    <t xml:space="preserve">Direccionamiento IPv6 - Prefijo 2001:DB8:ACAD::/48</t>
  </si>
  <si>
    <t xml:space="preserve">IPv6 no requiere VLSM: cada subred usa un /64 completo. Codificamos el ID de VLAN en el 4to grupo del prefijo para que sea facil identificar a que red pertenece.</t>
  </si>
  <si>
    <t xml:space="preserve">  PARAMETROS</t>
  </si>
  <si>
    <t xml:space="preserve">Prefijo global</t>
  </si>
  <si>
    <t xml:space="preserve">2001:DB8:ACAD</t>
  </si>
  <si>
    <t xml:space="preserve">Prefijo por VLAN</t>
  </si>
  <si>
    <t xml:space="preserve">/64</t>
  </si>
  <si>
    <t xml:space="preserve">Host ID R1</t>
  </si>
  <si>
    <t xml:space="preserve">::1</t>
  </si>
  <si>
    <t xml:space="preserve">  TABLA DE DIRECCIONAMIENTO IPv6</t>
  </si>
  <si>
    <t xml:space="preserve">Prefijo de subred</t>
  </si>
  <si>
    <t xml:space="preserve">Gateway (R1)</t>
  </si>
  <si>
    <t xml:space="preserve">Primer host</t>
  </si>
  <si>
    <t xml:space="preserve">Ultimo host</t>
  </si>
  <si>
    <t xml:space="preserve">Direcciones</t>
  </si>
  <si>
    <t xml:space="preserve">  DATOS ADICIONALES IPv6</t>
  </si>
  <si>
    <t xml:space="preserve">Tipo de direccion</t>
  </si>
  <si>
    <t xml:space="preserve">Unicast Global (documentacion 2001:DB8::/32)</t>
  </si>
  <si>
    <t xml:space="preserve">Link-local (automatica)</t>
  </si>
  <si>
    <t xml:space="preserve">FE80::/10  (se forma con EUI-64)</t>
  </si>
  <si>
    <t xml:space="preserve">Multicast todos los nodos</t>
  </si>
  <si>
    <t xml:space="preserve">FF02::1</t>
  </si>
  <si>
    <t xml:space="preserve">Multicast todos los routers</t>
  </si>
  <si>
    <t xml:space="preserve">FF02::2</t>
  </si>
  <si>
    <t xml:space="preserve">Loopback</t>
  </si>
  <si>
    <t xml:space="preserve">::1/128</t>
  </si>
  <si>
    <t xml:space="preserve">Asignacion en host</t>
  </si>
  <si>
    <t xml:space="preserve">SLAAC, DHCPv6 o estatica</t>
  </si>
  <si>
    <t xml:space="preserve">Asignacion de puertos en SW1 (Switch 2960)</t>
  </si>
  <si>
    <t xml:space="preserve">Rango de puertos sugerido para cada VLAN. Ajustelo a la cantidad de hosts reales que conectara en Packet Tracer.</t>
  </si>
  <si>
    <t xml:space="preserve">Rango de puertos</t>
  </si>
  <si>
    <t xml:space="preserve">Modo</t>
  </si>
  <si>
    <t xml:space="preserve">Cantidad</t>
  </si>
  <si>
    <t xml:space="preserve">Ejemplo de comando</t>
  </si>
  <si>
    <t xml:space="preserve">Fa0/1 - Fa0/5</t>
  </si>
  <si>
    <t xml:space="preserve">access</t>
  </si>
  <si>
    <t xml:space="preserve">Fa0/6 - Fa0/15</t>
  </si>
  <si>
    <t xml:space="preserve">Fa0/16 - Fa0/20</t>
  </si>
  <si>
    <t xml:space="preserve">Fa0/21 - Fa0/24</t>
  </si>
  <si>
    <t xml:space="preserve">  PUERTO TRONCAL (HACIA R1)</t>
  </si>
  <si>
    <t xml:space="preserve">Puerto:</t>
  </si>
  <si>
    <t xml:space="preserve">Gi0/1</t>
  </si>
  <si>
    <t xml:space="preserve">Modo:</t>
  </si>
  <si>
    <t xml:space="preserve">trunk (802.1Q)</t>
  </si>
  <si>
    <t xml:space="preserve">allowed vlan 10,20,30,40</t>
  </si>
  <si>
    <t xml:space="preserve">Matriz de pruebas de conectividad</t>
  </si>
  <si>
    <t xml:space="preserve">Complete la columna 'Resultado' despues de ejecutar cada ping en Packet Tracer. Debe haber conectividad intra-VLAN e inter-VLAN en IPv4 e IPv6.</t>
  </si>
  <si>
    <t xml:space="preserve">  PRUEBAS IPv4</t>
  </si>
  <si>
    <t xml:space="preserve">#</t>
  </si>
  <si>
    <t xml:space="preserve">Origen (PC)</t>
  </si>
  <si>
    <t xml:space="preserve">Destino (IP)</t>
  </si>
  <si>
    <t xml:space="preserve">Tipo de prueba</t>
  </si>
  <si>
    <t xml:space="preserve">Comando</t>
  </si>
  <si>
    <t xml:space="preserve">Resultado</t>
  </si>
  <si>
    <t xml:space="preserve">PC-Admin</t>
  </si>
  <si>
    <t xml:space="preserve">192.168.1.193</t>
  </si>
  <si>
    <t xml:space="preserve">Gateway propio</t>
  </si>
  <si>
    <t xml:space="preserve">ping 192.168.1.193</t>
  </si>
  <si>
    <t xml:space="preserve">192.168.1.129</t>
  </si>
  <si>
    <t xml:space="preserve">Inter-VLAN a Finan.</t>
  </si>
  <si>
    <t xml:space="preserve">ping 192.168.1.129</t>
  </si>
  <si>
    <t xml:space="preserve">PC-Financiera</t>
  </si>
  <si>
    <t xml:space="preserve">Inter-VLAN a Admin.</t>
  </si>
  <si>
    <t xml:space="preserve">PC-Tecnico</t>
  </si>
  <si>
    <t xml:space="preserve">192.168.1.1</t>
  </si>
  <si>
    <t xml:space="preserve">Inter-VLAN a Visit.</t>
  </si>
  <si>
    <t xml:space="preserve">ping 192.168.1.1</t>
  </si>
  <si>
    <t xml:space="preserve">PC-Visitante</t>
  </si>
  <si>
    <t xml:space="preserve">192.168.1.225</t>
  </si>
  <si>
    <t xml:space="preserve">Inter-VLAN a Tecnic.</t>
  </si>
  <si>
    <t xml:space="preserve">ping 192.168.1.225</t>
  </si>
  <si>
    <t xml:space="preserve">192.168.1.194</t>
  </si>
  <si>
    <t xml:space="preserve">Intra-VLAN (otro Admin)</t>
  </si>
  <si>
    <t xml:space="preserve">ping 192.168.1.194</t>
  </si>
  <si>
    <t xml:space="preserve">  PRUEBAS IPv6</t>
  </si>
  <si>
    <t xml:space="preserve">2001:DB8:ACAD:10::1</t>
  </si>
  <si>
    <t xml:space="preserve">ping 2001:DB8:ACAD:10::1</t>
  </si>
  <si>
    <t xml:space="preserve">2001:DB8:ACAD:20::1</t>
  </si>
  <si>
    <t xml:space="preserve">ping 2001:DB8:ACAD:20::1</t>
  </si>
  <si>
    <t xml:space="preserve">2001:DB8:ACAD:30::1</t>
  </si>
  <si>
    <t xml:space="preserve">ping 2001:DB8:ACAD:30::1</t>
  </si>
  <si>
    <t xml:space="preserve">2001:DB8:ACAD:40::1</t>
  </si>
  <si>
    <t xml:space="preserve">ping 2001:DB8:ACAD:40::1</t>
  </si>
  <si>
    <t xml:space="preserve">2001:DB8:ACAD:10::2</t>
  </si>
  <si>
    <t xml:space="preserve">ping 2001:DB8:ACAD:10::2</t>
  </si>
  <si>
    <t xml:space="preserve">Total pruebas con resultado = OK:</t>
  </si>
  <si>
    <t xml:space="preserve">Resumen de configuracion de R1 (Router 2911)</t>
  </si>
  <si>
    <t xml:space="preserve">Las interfaces, IPs y comandos se generan automaticamente a partir de las tablas anteriores.</t>
  </si>
  <si>
    <t xml:space="preserve">Interface</t>
  </si>
  <si>
    <t xml:space="preserve">Comando IOS</t>
  </si>
  <si>
    <t xml:space="preserve">Proposito</t>
  </si>
  <si>
    <t xml:space="preserve">Gi0/0.10</t>
  </si>
  <si>
    <t xml:space="preserve">VLAN 10: marca el trafico 802.1Q</t>
  </si>
  <si>
    <t xml:space="preserve">Gateway IPv4 de la VLAN</t>
  </si>
  <si>
    <t xml:space="preserve">Gateway IPv6 de la VLAN</t>
  </si>
  <si>
    <t xml:space="preserve">no shutdown</t>
  </si>
  <si>
    <t xml:space="preserve">Habilita la subinterfaz</t>
  </si>
  <si>
    <t xml:space="preserve">Gi0/0.20</t>
  </si>
  <si>
    <t xml:space="preserve">VLAN 20: marca el trafico 802.1Q</t>
  </si>
  <si>
    <t xml:space="preserve">Gi0/0.30</t>
  </si>
  <si>
    <t xml:space="preserve">VLAN 30: marca el trafico 802.1Q</t>
  </si>
  <si>
    <t xml:space="preserve">Gi0/0.40</t>
  </si>
  <si>
    <t xml:space="preserve">VLAN 40: marca el trafico 802.1Q</t>
  </si>
  <si>
    <t xml:space="preserve">  COMANDOS GLOBALES</t>
  </si>
  <si>
    <t xml:space="preserve">-</t>
  </si>
  <si>
    <t xml:space="preserve">enable</t>
  </si>
  <si>
    <t xml:space="preserve">Modo privilegiado</t>
  </si>
  <si>
    <t xml:space="preserve">configure terminal</t>
  </si>
  <si>
    <t xml:space="preserve">Modo configuracion</t>
  </si>
  <si>
    <t xml:space="preserve">hostname R1</t>
  </si>
  <si>
    <t xml:space="preserve">Nombre del router</t>
  </si>
  <si>
    <t xml:space="preserve">ipv6 unicast-routing</t>
  </si>
  <si>
    <t xml:space="preserve">Activa enrutamiento IPv6</t>
  </si>
  <si>
    <t xml:space="preserve">interface gigabitEthernet 0/0</t>
  </si>
  <si>
    <t xml:space="preserve">Entra a la fisica</t>
  </si>
  <si>
    <t xml:space="preserve">Habilita la fisica</t>
  </si>
  <si>
    <t xml:space="preserve">do write memory</t>
  </si>
  <si>
    <t xml:space="preserve">Guarda en startup-config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</si>
</sst>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003057"/>
      <name val="Arial"/>
      <family val="0"/>
      <charset val="1"/>
    </font>
    <font>
      <sz val="11"/>
      <color rgb="FF374151"/>
      <name val="Arial"/>
      <family val="0"/>
      <charset val="1"/>
    </font>
    <font>
      <b val="true"/>
      <sz val="10"/>
      <color rgb="FF1A4D7A"/>
      <name val="Arial"/>
      <family val="0"/>
      <charset val="1"/>
    </font>
    <font>
      <sz val="10"/>
      <color rgb="FF374151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00305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3057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2E8500"/>
      <name val="Arial"/>
      <family val="0"/>
      <charset val="1"/>
    </font>
    <font>
      <sz val="10"/>
      <color rgb="FF1A4D7A"/>
      <name val="Arial"/>
      <family val="0"/>
      <charset val="1"/>
    </font>
    <font>
      <sz val="9"/>
      <color rgb="FF374151"/>
      <name val="Arial"/>
      <family val="0"/>
      <charset val="1"/>
    </font>
    <font>
      <i val="true"/>
      <sz val="10"/>
      <color rgb="FF374151"/>
      <name val="Arial"/>
      <family val="0"/>
      <charset val="1"/>
    </font>
    <font>
      <b val="true"/>
      <sz val="10"/>
      <color rgb="FF374151"/>
      <name val="Arial"/>
      <family val="0"/>
      <charset val="1"/>
    </font>
    <font>
      <sz val="8"/>
      <color rgb="FF374151"/>
      <name val="Arial"/>
      <family val="0"/>
      <charset val="1"/>
    </font>
    <font>
      <sz val="10"/>
      <color rgb="FF6B728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39A900"/>
        <bgColor rgb="FF2E8500"/>
      </patternFill>
    </fill>
    <fill>
      <patternFill patternType="solid">
        <fgColor rgb="FF003057"/>
        <bgColor rgb="FF003300"/>
      </patternFill>
    </fill>
    <fill>
      <patternFill patternType="solid">
        <fgColor rgb="FF1A4D7A"/>
        <bgColor rgb="FF374151"/>
      </patternFill>
    </fill>
    <fill>
      <patternFill patternType="solid">
        <fgColor rgb="FFF4F7F2"/>
        <bgColor rgb="FFFAFBFC"/>
      </patternFill>
    </fill>
    <fill>
      <patternFill patternType="solid">
        <fgColor rgb="FFFFFFFF"/>
        <bgColor rgb="FFFAFBFC"/>
      </patternFill>
    </fill>
    <fill>
      <patternFill patternType="solid">
        <fgColor rgb="FFE85D04"/>
        <bgColor rgb="FFFF9900"/>
      </patternFill>
    </fill>
    <fill>
      <patternFill patternType="solid">
        <fgColor rgb="FFE8F1F8"/>
        <bgColor rgb="FFF4F7F2"/>
      </patternFill>
    </fill>
    <fill>
      <patternFill patternType="solid">
        <fgColor rgb="FFFFF9E6"/>
        <bgColor rgb="FFF4F7F2"/>
      </patternFill>
    </fill>
    <fill>
      <patternFill patternType="solid">
        <fgColor rgb="FFFAFBF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85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6"/>
      <rgbColor rgb="FFE8F1F8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7F2"/>
      <rgbColor rgb="FFFAFB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5D04"/>
      <rgbColor rgb="FF6B7280"/>
      <rgbColor rgb="FF969696"/>
      <rgbColor rgb="FF003057"/>
      <rgbColor rgb="FF39A900"/>
      <rgbColor rgb="FF003300"/>
      <rgbColor rgb="FF333300"/>
      <rgbColor rgb="FF993300"/>
      <rgbColor rgb="FF993366"/>
      <rgbColor rgb="FF1A4D7A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8" min="3" style="0" width="15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6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21.75" hidden="false" customHeight="true" outlineLevel="0" collapsed="false">
      <c r="A6" s="4" t="s">
        <v>4</v>
      </c>
      <c r="B6" s="5" t="s">
        <v>5</v>
      </c>
      <c r="C6" s="5"/>
      <c r="D6" s="5"/>
      <c r="E6" s="5"/>
      <c r="F6" s="5"/>
      <c r="G6" s="5"/>
      <c r="H6" s="5"/>
    </row>
    <row r="7" customFormat="false" ht="21.75" hidden="false" customHeight="true" outlineLevel="0" collapsed="false">
      <c r="A7" s="4" t="s">
        <v>6</v>
      </c>
      <c r="B7" s="5"/>
      <c r="C7" s="5"/>
      <c r="D7" s="5"/>
      <c r="E7" s="5"/>
      <c r="F7" s="5"/>
      <c r="G7" s="5"/>
      <c r="H7" s="5"/>
    </row>
    <row r="8" customFormat="false" ht="21.75" hidden="false" customHeight="true" outlineLevel="0" collapsed="false">
      <c r="A8" s="4" t="s">
        <v>7</v>
      </c>
      <c r="B8" s="5"/>
      <c r="C8" s="5"/>
      <c r="D8" s="5"/>
      <c r="E8" s="5"/>
      <c r="F8" s="5"/>
      <c r="G8" s="5"/>
      <c r="H8" s="5"/>
    </row>
    <row r="9" customFormat="false" ht="21.75" hidden="false" customHeight="true" outlineLevel="0" collapsed="false">
      <c r="A9" s="4" t="s">
        <v>8</v>
      </c>
      <c r="B9" s="5" t="s">
        <v>9</v>
      </c>
      <c r="C9" s="5"/>
      <c r="D9" s="5"/>
      <c r="E9" s="5"/>
      <c r="F9" s="5"/>
      <c r="G9" s="5"/>
      <c r="H9" s="5"/>
    </row>
    <row r="10" customFormat="false" ht="21.75" hidden="false" customHeight="true" outlineLevel="0" collapsed="false">
      <c r="A10" s="4" t="s">
        <v>10</v>
      </c>
      <c r="B10" s="5" t="s">
        <v>11</v>
      </c>
      <c r="C10" s="5"/>
      <c r="D10" s="5"/>
      <c r="E10" s="5"/>
      <c r="F10" s="5"/>
      <c r="G10" s="5"/>
      <c r="H10" s="5"/>
    </row>
    <row r="11" customFormat="false" ht="21.75" hidden="false" customHeight="true" outlineLevel="0" collapsed="false">
      <c r="A11" s="4" t="s">
        <v>12</v>
      </c>
      <c r="B11" s="5"/>
      <c r="C11" s="5"/>
      <c r="D11" s="5"/>
      <c r="E11" s="5"/>
      <c r="F11" s="5"/>
      <c r="G11" s="5"/>
      <c r="H11" s="5"/>
    </row>
    <row r="12" customFormat="false" ht="21.75" hidden="false" customHeight="true" outlineLevel="0" collapsed="false">
      <c r="A12" s="4" t="s">
        <v>13</v>
      </c>
      <c r="B12" s="5"/>
      <c r="C12" s="5"/>
      <c r="D12" s="5"/>
      <c r="E12" s="5"/>
      <c r="F12" s="5"/>
      <c r="G12" s="5"/>
      <c r="H12" s="5"/>
    </row>
    <row r="14" customFormat="false" ht="21.75" hidden="false" customHeight="true" outlineLevel="0" collapsed="false">
      <c r="A14" s="1" t="s">
        <v>14</v>
      </c>
      <c r="B14" s="1"/>
      <c r="C14" s="1"/>
      <c r="D14" s="1"/>
      <c r="E14" s="1"/>
      <c r="F14" s="1"/>
      <c r="G14" s="1"/>
      <c r="H14" s="1"/>
    </row>
    <row r="15" customFormat="false" ht="21.75" hidden="false" customHeight="true" outlineLevel="0" collapsed="false">
      <c r="A15" s="4" t="s">
        <v>15</v>
      </c>
      <c r="B15" s="5" t="s">
        <v>16</v>
      </c>
      <c r="C15" s="5"/>
      <c r="D15" s="5"/>
      <c r="E15" s="5"/>
      <c r="F15" s="5"/>
      <c r="G15" s="5"/>
      <c r="H15" s="5"/>
    </row>
    <row r="16" customFormat="false" ht="21.75" hidden="false" customHeight="true" outlineLevel="0" collapsed="false">
      <c r="A16" s="4" t="s">
        <v>17</v>
      </c>
      <c r="B16" s="5" t="s">
        <v>18</v>
      </c>
      <c r="C16" s="5"/>
      <c r="D16" s="5"/>
      <c r="E16" s="5"/>
      <c r="F16" s="5"/>
      <c r="G16" s="5"/>
      <c r="H16" s="5"/>
    </row>
    <row r="17" customFormat="false" ht="21.75" hidden="false" customHeight="true" outlineLevel="0" collapsed="false">
      <c r="A17" s="4" t="s">
        <v>19</v>
      </c>
      <c r="B17" s="5" t="s">
        <v>20</v>
      </c>
      <c r="C17" s="5"/>
      <c r="D17" s="5"/>
      <c r="E17" s="5"/>
      <c r="F17" s="5"/>
      <c r="G17" s="5"/>
      <c r="H17" s="5"/>
    </row>
    <row r="18" customFormat="false" ht="21.75" hidden="false" customHeight="true" outlineLevel="0" collapsed="false">
      <c r="A18" s="4" t="s">
        <v>21</v>
      </c>
      <c r="B18" s="5" t="s">
        <v>22</v>
      </c>
      <c r="C18" s="5"/>
      <c r="D18" s="5"/>
      <c r="E18" s="5"/>
      <c r="F18" s="5"/>
      <c r="G18" s="5"/>
      <c r="H18" s="5"/>
    </row>
    <row r="19" customFormat="false" ht="21.75" hidden="false" customHeight="true" outlineLevel="0" collapsed="false">
      <c r="A19" s="4" t="s">
        <v>23</v>
      </c>
      <c r="B19" s="5" t="s">
        <v>24</v>
      </c>
      <c r="C19" s="5"/>
      <c r="D19" s="5"/>
      <c r="E19" s="5"/>
      <c r="F19" s="5"/>
      <c r="G19" s="5"/>
      <c r="H19" s="5"/>
    </row>
    <row r="20" customFormat="false" ht="21.75" hidden="false" customHeight="true" outlineLevel="0" collapsed="false">
      <c r="A20" s="4" t="s">
        <v>25</v>
      </c>
      <c r="B20" s="5" t="s">
        <v>26</v>
      </c>
      <c r="C20" s="5"/>
      <c r="D20" s="5"/>
      <c r="E20" s="5"/>
      <c r="F20" s="5"/>
      <c r="G20" s="5"/>
      <c r="H20" s="5"/>
    </row>
    <row r="22" customFormat="false" ht="21.75" hidden="false" customHeight="true" outlineLevel="0" collapsed="false">
      <c r="A22" s="6" t="s">
        <v>27</v>
      </c>
      <c r="B22" s="6"/>
      <c r="C22" s="6"/>
      <c r="D22" s="6"/>
      <c r="E22" s="6"/>
      <c r="F22" s="6"/>
      <c r="G22" s="6"/>
      <c r="H22" s="6"/>
    </row>
    <row r="23" customFormat="false" ht="19.5" hidden="false" customHeight="true" outlineLevel="0" collapsed="false">
      <c r="A23" s="7" t="s">
        <v>28</v>
      </c>
      <c r="B23" s="8" t="s">
        <v>29</v>
      </c>
      <c r="C23" s="8"/>
      <c r="D23" s="8"/>
      <c r="E23" s="8"/>
      <c r="F23" s="8"/>
      <c r="G23" s="8"/>
      <c r="H23" s="8"/>
    </row>
    <row r="24" customFormat="false" ht="19.5" hidden="false" customHeight="true" outlineLevel="0" collapsed="false">
      <c r="A24" s="7" t="s">
        <v>30</v>
      </c>
      <c r="B24" s="8" t="s">
        <v>31</v>
      </c>
      <c r="C24" s="8"/>
      <c r="D24" s="8"/>
      <c r="E24" s="8"/>
      <c r="F24" s="8"/>
      <c r="G24" s="8"/>
      <c r="H24" s="8"/>
    </row>
    <row r="25" customFormat="false" ht="19.5" hidden="false" customHeight="true" outlineLevel="0" collapsed="false">
      <c r="A25" s="7" t="s">
        <v>32</v>
      </c>
      <c r="B25" s="8" t="s">
        <v>33</v>
      </c>
      <c r="C25" s="8"/>
      <c r="D25" s="8"/>
      <c r="E25" s="8"/>
      <c r="F25" s="8"/>
      <c r="G25" s="8"/>
      <c r="H25" s="8"/>
    </row>
    <row r="26" customFormat="false" ht="19.5" hidden="false" customHeight="true" outlineLevel="0" collapsed="false">
      <c r="A26" s="7" t="s">
        <v>34</v>
      </c>
      <c r="B26" s="8" t="s">
        <v>35</v>
      </c>
      <c r="C26" s="8"/>
      <c r="D26" s="8"/>
      <c r="E26" s="8"/>
      <c r="F26" s="8"/>
      <c r="G26" s="8"/>
      <c r="H26" s="8"/>
    </row>
    <row r="27" customFormat="false" ht="19.5" hidden="false" customHeight="true" outlineLevel="0" collapsed="false">
      <c r="A27" s="7" t="s">
        <v>36</v>
      </c>
      <c r="B27" s="8" t="s">
        <v>37</v>
      </c>
      <c r="C27" s="8"/>
      <c r="D27" s="8"/>
      <c r="E27" s="8"/>
      <c r="F27" s="8"/>
      <c r="G27" s="8"/>
      <c r="H27" s="8"/>
    </row>
    <row r="28" customFormat="false" ht="19.5" hidden="false" customHeight="true" outlineLevel="0" collapsed="false">
      <c r="A28" s="7" t="s">
        <v>38</v>
      </c>
      <c r="B28" s="8" t="s">
        <v>39</v>
      </c>
      <c r="C28" s="8"/>
      <c r="D28" s="8"/>
      <c r="E28" s="8"/>
      <c r="F28" s="8"/>
      <c r="G28" s="8"/>
      <c r="H28" s="8"/>
    </row>
    <row r="29" customFormat="false" ht="19.5" hidden="false" customHeight="true" outlineLevel="0" collapsed="false">
      <c r="A29" s="7" t="s">
        <v>40</v>
      </c>
      <c r="B29" s="8" t="s">
        <v>41</v>
      </c>
      <c r="C29" s="8"/>
      <c r="D29" s="8"/>
      <c r="E29" s="8"/>
      <c r="F29" s="8"/>
      <c r="G29" s="8"/>
      <c r="H29" s="8"/>
    </row>
    <row r="30" customFormat="false" ht="19.5" hidden="false" customHeight="true" outlineLevel="0" collapsed="false">
      <c r="A30" s="7" t="s">
        <v>42</v>
      </c>
      <c r="B30" s="8" t="s">
        <v>43</v>
      </c>
      <c r="C30" s="8"/>
      <c r="D30" s="8"/>
      <c r="E30" s="8"/>
      <c r="F30" s="8"/>
      <c r="G30" s="8"/>
      <c r="H30" s="8"/>
    </row>
  </sheetData>
  <mergeCells count="27">
    <mergeCell ref="A1:H1"/>
    <mergeCell ref="A2:H2"/>
    <mergeCell ref="A3:H3"/>
    <mergeCell ref="A5:H5"/>
    <mergeCell ref="B6:H6"/>
    <mergeCell ref="B7:H7"/>
    <mergeCell ref="B8:H8"/>
    <mergeCell ref="B9:H9"/>
    <mergeCell ref="B10:H10"/>
    <mergeCell ref="B11:H11"/>
    <mergeCell ref="B12:H12"/>
    <mergeCell ref="A14:H14"/>
    <mergeCell ref="B15:H15"/>
    <mergeCell ref="B16:H16"/>
    <mergeCell ref="B17:H17"/>
    <mergeCell ref="B18:H18"/>
    <mergeCell ref="B19:H19"/>
    <mergeCell ref="B20:H20"/>
    <mergeCell ref="A22:H22"/>
    <mergeCell ref="B23:H23"/>
    <mergeCell ref="B24:H24"/>
    <mergeCell ref="B25:H25"/>
    <mergeCell ref="B26:H26"/>
    <mergeCell ref="B27:H27"/>
    <mergeCell ref="B28:H28"/>
    <mergeCell ref="B29:H29"/>
    <mergeCell ref="B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24"/>
  </cols>
  <sheetData>
    <row r="1" customFormat="false" ht="31.5" hidden="false" customHeight="true" outlineLevel="0" collapsed="false">
      <c r="A1" s="9" t="s">
        <v>44</v>
      </c>
      <c r="B1" s="9"/>
      <c r="C1" s="9"/>
      <c r="D1" s="9"/>
      <c r="E1" s="9"/>
      <c r="F1" s="9"/>
    </row>
    <row r="2" customFormat="false" ht="27.75" hidden="false" customHeight="true" outlineLevel="0" collapsed="false">
      <c r="A2" s="10" t="s">
        <v>45</v>
      </c>
      <c r="B2" s="10"/>
      <c r="C2" s="10"/>
      <c r="D2" s="10"/>
      <c r="E2" s="10"/>
      <c r="F2" s="10"/>
    </row>
    <row r="4" customFormat="false" ht="31.5" hidden="false" customHeight="true" outlineLevel="0" collapsed="false">
      <c r="A4" s="11" t="s">
        <v>46</v>
      </c>
      <c r="B4" s="11" t="s">
        <v>47</v>
      </c>
      <c r="C4" s="11" t="s">
        <v>48</v>
      </c>
      <c r="D4" s="11" t="s">
        <v>49</v>
      </c>
      <c r="E4" s="11" t="s">
        <v>50</v>
      </c>
      <c r="F4" s="11" t="s">
        <v>51</v>
      </c>
    </row>
    <row r="5" customFormat="false" ht="21.75" hidden="false" customHeight="true" outlineLevel="0" collapsed="false">
      <c r="A5" s="12" t="n">
        <v>10</v>
      </c>
      <c r="B5" s="13" t="s">
        <v>52</v>
      </c>
      <c r="C5" s="14" t="n">
        <v>20</v>
      </c>
      <c r="D5" s="15" t="n">
        <f aca="false">C5+2</f>
        <v>22</v>
      </c>
      <c r="E5" s="15" t="n">
        <f aca="false">CEILING(LOG(D5,2),1)</f>
        <v>5</v>
      </c>
      <c r="F5" s="15" t="n">
        <f aca="false">POWER(2,E5)</f>
        <v>32</v>
      </c>
    </row>
    <row r="6" customFormat="false" ht="21.75" hidden="false" customHeight="true" outlineLevel="0" collapsed="false">
      <c r="A6" s="12" t="n">
        <v>20</v>
      </c>
      <c r="B6" s="13" t="s">
        <v>53</v>
      </c>
      <c r="C6" s="14" t="n">
        <v>50</v>
      </c>
      <c r="D6" s="15" t="n">
        <f aca="false">C6+2</f>
        <v>52</v>
      </c>
      <c r="E6" s="15" t="n">
        <f aca="false">CEILING(LOG(D6,2),1)</f>
        <v>6</v>
      </c>
      <c r="F6" s="15" t="n">
        <f aca="false">POWER(2,E6)</f>
        <v>64</v>
      </c>
    </row>
    <row r="7" customFormat="false" ht="21.75" hidden="false" customHeight="true" outlineLevel="0" collapsed="false">
      <c r="A7" s="12" t="n">
        <v>30</v>
      </c>
      <c r="B7" s="13" t="s">
        <v>54</v>
      </c>
      <c r="C7" s="14" t="n">
        <v>20</v>
      </c>
      <c r="D7" s="15" t="n">
        <f aca="false">C7+2</f>
        <v>22</v>
      </c>
      <c r="E7" s="15" t="n">
        <f aca="false">CEILING(LOG(D7,2),1)</f>
        <v>5</v>
      </c>
      <c r="F7" s="15" t="n">
        <f aca="false">POWER(2,E7)</f>
        <v>32</v>
      </c>
    </row>
    <row r="8" customFormat="false" ht="21.75" hidden="false" customHeight="true" outlineLevel="0" collapsed="false">
      <c r="A8" s="12" t="n">
        <v>40</v>
      </c>
      <c r="B8" s="13" t="s">
        <v>55</v>
      </c>
      <c r="C8" s="14" t="n">
        <v>100</v>
      </c>
      <c r="D8" s="15" t="n">
        <f aca="false">C8+2</f>
        <v>102</v>
      </c>
      <c r="E8" s="15" t="n">
        <f aca="false">CEILING(LOG(D8,2),1)</f>
        <v>7</v>
      </c>
      <c r="F8" s="15" t="n">
        <f aca="false">POWER(2,E8)</f>
        <v>128</v>
      </c>
    </row>
    <row r="11" customFormat="false" ht="15" hidden="false" customHeight="true" outlineLevel="0" collapsed="false">
      <c r="A11" s="13" t="s">
        <v>56</v>
      </c>
      <c r="B11" s="16" t="s">
        <v>57</v>
      </c>
      <c r="C11" s="16"/>
      <c r="D11" s="16"/>
      <c r="E11" s="16"/>
      <c r="F11" s="16"/>
    </row>
    <row r="13" customFormat="false" ht="21.75" hidden="false" customHeight="true" outlineLevel="0" collapsed="false">
      <c r="A13" s="6" t="s">
        <v>58</v>
      </c>
      <c r="B13" s="6"/>
      <c r="C13" s="6"/>
      <c r="D13" s="6"/>
      <c r="E13" s="6"/>
      <c r="F13" s="6"/>
    </row>
    <row r="14" customFormat="false" ht="24" hidden="false" customHeight="true" outlineLevel="0" collapsed="false">
      <c r="A14" s="17" t="s">
        <v>59</v>
      </c>
      <c r="B14" s="8" t="s">
        <v>60</v>
      </c>
      <c r="C14" s="8"/>
      <c r="D14" s="8"/>
      <c r="E14" s="8"/>
      <c r="F14" s="8"/>
    </row>
    <row r="15" customFormat="false" ht="24" hidden="false" customHeight="true" outlineLevel="0" collapsed="false">
      <c r="A15" s="17" t="s">
        <v>61</v>
      </c>
      <c r="B15" s="8" t="s">
        <v>62</v>
      </c>
      <c r="C15" s="8"/>
      <c r="D15" s="8"/>
      <c r="E15" s="8"/>
      <c r="F15" s="8"/>
    </row>
    <row r="16" customFormat="false" ht="24" hidden="false" customHeight="true" outlineLevel="0" collapsed="false">
      <c r="A16" s="17" t="s">
        <v>63</v>
      </c>
      <c r="B16" s="8" t="s">
        <v>64</v>
      </c>
      <c r="C16" s="8"/>
      <c r="D16" s="8"/>
      <c r="E16" s="8"/>
      <c r="F16" s="8"/>
    </row>
    <row r="17" customFormat="false" ht="24" hidden="false" customHeight="true" outlineLevel="0" collapsed="false">
      <c r="A17" s="17" t="s">
        <v>65</v>
      </c>
      <c r="B17" s="8" t="s">
        <v>66</v>
      </c>
      <c r="C17" s="8"/>
      <c r="D17" s="8"/>
      <c r="E17" s="8"/>
      <c r="F17" s="8"/>
    </row>
  </sheetData>
  <mergeCells count="8">
    <mergeCell ref="A1:F1"/>
    <mergeCell ref="A2:F2"/>
    <mergeCell ref="B11:F11"/>
    <mergeCell ref="A13:F13"/>
    <mergeCell ref="B14:F14"/>
    <mergeCell ref="B15:F15"/>
    <mergeCell ref="B16:F16"/>
    <mergeCell ref="B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7"/>
    <col collapsed="false" customWidth="true" hidden="false" outlineLevel="0" max="14" min="14" style="0" width="16"/>
  </cols>
  <sheetData>
    <row r="1" customFormat="false" ht="31.5" hidden="false" customHeight="true" outlineLevel="0" collapsed="false">
      <c r="A1" s="9" t="s">
        <v>67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customFormat="false" ht="27.75" hidden="false" customHeight="true" outlineLevel="0" collapsed="false">
      <c r="A2" s="10" t="s">
        <v>68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4" customFormat="false" ht="21.75" hidden="false" customHeight="true" outlineLevel="0" collapsed="false">
      <c r="A4" s="18" t="s">
        <v>69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customFormat="false" ht="21.75" hidden="false" customHeight="true" outlineLevel="0" collapsed="false">
      <c r="A5" s="17" t="s">
        <v>70</v>
      </c>
      <c r="B5" s="19" t="s">
        <v>24</v>
      </c>
      <c r="C5" s="17" t="s">
        <v>71</v>
      </c>
      <c r="D5" s="14" t="n">
        <v>0</v>
      </c>
    </row>
    <row r="7" customFormat="false" ht="42" hidden="false" customHeight="true" outlineLevel="0" collapsed="false">
      <c r="A7" s="20" t="s">
        <v>72</v>
      </c>
      <c r="B7" s="20" t="s">
        <v>73</v>
      </c>
      <c r="C7" s="20" t="s">
        <v>47</v>
      </c>
      <c r="D7" s="20" t="s">
        <v>74</v>
      </c>
      <c r="E7" s="20" t="s">
        <v>59</v>
      </c>
      <c r="F7" s="20" t="s">
        <v>75</v>
      </c>
      <c r="G7" s="20" t="s">
        <v>76</v>
      </c>
      <c r="H7" s="20" t="s">
        <v>77</v>
      </c>
      <c r="I7" s="20" t="s">
        <v>78</v>
      </c>
      <c r="J7" s="20" t="s">
        <v>79</v>
      </c>
      <c r="K7" s="20" t="s">
        <v>80</v>
      </c>
      <c r="L7" s="20" t="s">
        <v>81</v>
      </c>
      <c r="M7" s="20" t="s">
        <v>82</v>
      </c>
      <c r="N7" s="20" t="s">
        <v>83</v>
      </c>
    </row>
    <row r="8" customFormat="false" ht="21.75" hidden="false" customHeight="true" outlineLevel="0" collapsed="false">
      <c r="A8" s="15" t="n">
        <v>1</v>
      </c>
      <c r="B8" s="12" t="n">
        <v>40</v>
      </c>
      <c r="C8" s="13" t="s">
        <v>55</v>
      </c>
      <c r="D8" s="14" t="n">
        <v>100</v>
      </c>
      <c r="E8" s="15" t="n">
        <f aca="false">D8+2</f>
        <v>102</v>
      </c>
      <c r="F8" s="15" t="n">
        <f aca="false">CEILING(LOG(E8,2),1)</f>
        <v>7</v>
      </c>
      <c r="G8" s="15" t="n">
        <f aca="false">32-F8</f>
        <v>25</v>
      </c>
      <c r="H8" s="15" t="n">
        <f aca="false">POWER(2,F8)</f>
        <v>128</v>
      </c>
      <c r="I8" s="15" t="n">
        <f aca="false">$D$5</f>
        <v>0</v>
      </c>
      <c r="J8" s="15" t="n">
        <f aca="false">I8+H8-1</f>
        <v>127</v>
      </c>
      <c r="K8" s="15" t="n">
        <f aca="false">I8+1</f>
        <v>1</v>
      </c>
      <c r="L8" s="15" t="n">
        <f aca="false">J8-1</f>
        <v>126</v>
      </c>
      <c r="M8" s="21" t="str">
        <f aca="false">"192.168.1."&amp;I8&amp;"/"&amp;G8</f>
        <v>192.168.1.0/25</v>
      </c>
      <c r="N8" s="22" t="str">
        <f aca="false">"255.255.255."&amp;(256-H8)</f>
        <v>255.255.255.128</v>
      </c>
    </row>
    <row r="9" customFormat="false" ht="21.75" hidden="false" customHeight="true" outlineLevel="0" collapsed="false">
      <c r="A9" s="15" t="n">
        <v>2</v>
      </c>
      <c r="B9" s="12" t="n">
        <v>20</v>
      </c>
      <c r="C9" s="13" t="s">
        <v>53</v>
      </c>
      <c r="D9" s="14" t="n">
        <v>50</v>
      </c>
      <c r="E9" s="15" t="n">
        <f aca="false">D9+2</f>
        <v>52</v>
      </c>
      <c r="F9" s="15" t="n">
        <f aca="false">CEILING(LOG(E9,2),1)</f>
        <v>6</v>
      </c>
      <c r="G9" s="15" t="n">
        <f aca="false">32-F9</f>
        <v>26</v>
      </c>
      <c r="H9" s="15" t="n">
        <f aca="false">POWER(2,F9)</f>
        <v>64</v>
      </c>
      <c r="I9" s="15" t="n">
        <f aca="false">J8+1</f>
        <v>128</v>
      </c>
      <c r="J9" s="15" t="n">
        <f aca="false">I9+H9-1</f>
        <v>191</v>
      </c>
      <c r="K9" s="15" t="n">
        <f aca="false">I9+1</f>
        <v>129</v>
      </c>
      <c r="L9" s="15" t="n">
        <f aca="false">J9-1</f>
        <v>190</v>
      </c>
      <c r="M9" s="21" t="str">
        <f aca="false">"192.168.1."&amp;I9&amp;"/"&amp;G9</f>
        <v>192.168.1.128/26</v>
      </c>
      <c r="N9" s="22" t="str">
        <f aca="false">"255.255.255."&amp;(256-H9)</f>
        <v>255.255.255.192</v>
      </c>
    </row>
    <row r="10" customFormat="false" ht="21.75" hidden="false" customHeight="true" outlineLevel="0" collapsed="false">
      <c r="A10" s="15" t="n">
        <v>3</v>
      </c>
      <c r="B10" s="12" t="n">
        <v>10</v>
      </c>
      <c r="C10" s="13" t="s">
        <v>52</v>
      </c>
      <c r="D10" s="14" t="n">
        <v>20</v>
      </c>
      <c r="E10" s="15" t="n">
        <f aca="false">D10+2</f>
        <v>22</v>
      </c>
      <c r="F10" s="15" t="n">
        <f aca="false">CEILING(LOG(E10,2),1)</f>
        <v>5</v>
      </c>
      <c r="G10" s="15" t="n">
        <f aca="false">32-F10</f>
        <v>27</v>
      </c>
      <c r="H10" s="15" t="n">
        <f aca="false">POWER(2,F10)</f>
        <v>32</v>
      </c>
      <c r="I10" s="15" t="n">
        <f aca="false">J9+1</f>
        <v>192</v>
      </c>
      <c r="J10" s="15" t="n">
        <f aca="false">I10+H10-1</f>
        <v>223</v>
      </c>
      <c r="K10" s="15" t="n">
        <f aca="false">I10+1</f>
        <v>193</v>
      </c>
      <c r="L10" s="15" t="n">
        <f aca="false">J10-1</f>
        <v>222</v>
      </c>
      <c r="M10" s="21" t="str">
        <f aca="false">"192.168.1."&amp;I10&amp;"/"&amp;G10</f>
        <v>192.168.1.192/27</v>
      </c>
      <c r="N10" s="22" t="str">
        <f aca="false">"255.255.255."&amp;(256-H10)</f>
        <v>255.255.255.224</v>
      </c>
    </row>
    <row r="11" customFormat="false" ht="21.75" hidden="false" customHeight="true" outlineLevel="0" collapsed="false">
      <c r="A11" s="15" t="n">
        <v>4</v>
      </c>
      <c r="B11" s="12" t="n">
        <v>30</v>
      </c>
      <c r="C11" s="13" t="s">
        <v>54</v>
      </c>
      <c r="D11" s="14" t="n">
        <v>20</v>
      </c>
      <c r="E11" s="15" t="n">
        <f aca="false">D11+2</f>
        <v>22</v>
      </c>
      <c r="F11" s="15" t="n">
        <f aca="false">CEILING(LOG(E11,2),1)</f>
        <v>5</v>
      </c>
      <c r="G11" s="15" t="n">
        <f aca="false">32-F11</f>
        <v>27</v>
      </c>
      <c r="H11" s="15" t="n">
        <f aca="false">POWER(2,F11)</f>
        <v>32</v>
      </c>
      <c r="I11" s="15" t="n">
        <f aca="false">J10+1</f>
        <v>224</v>
      </c>
      <c r="J11" s="15" t="n">
        <f aca="false">I11+H11-1</f>
        <v>255</v>
      </c>
      <c r="K11" s="15" t="n">
        <f aca="false">I11+1</f>
        <v>225</v>
      </c>
      <c r="L11" s="15" t="n">
        <f aca="false">J11-1</f>
        <v>254</v>
      </c>
      <c r="M11" s="21" t="str">
        <f aca="false">"192.168.1."&amp;I11&amp;"/"&amp;G11</f>
        <v>192.168.1.224/27</v>
      </c>
      <c r="N11" s="22" t="str">
        <f aca="false">"255.255.255."&amp;(256-H11)</f>
        <v>255.255.255.224</v>
      </c>
    </row>
    <row r="13" customFormat="false" ht="23.85" hidden="false" customHeight="true" outlineLevel="0" collapsed="false">
      <c r="A13" s="23" t="s">
        <v>84</v>
      </c>
      <c r="B13" s="24" t="s">
        <v>85</v>
      </c>
      <c r="C13" s="24"/>
      <c r="D13" s="25" t="n">
        <f aca="false">SUM(D8:D11)</f>
        <v>190</v>
      </c>
      <c r="E13" s="24" t="s">
        <v>86</v>
      </c>
      <c r="F13" s="24"/>
      <c r="G13" s="24"/>
      <c r="H13" s="25" t="n">
        <f aca="false">SUM(H8:H11)</f>
        <v>256</v>
      </c>
    </row>
    <row r="15" customFormat="false" ht="21.75" hidden="false" customHeight="true" outlineLevel="0" collapsed="false">
      <c r="A15" s="6" t="s">
        <v>87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customFormat="false" ht="18" hidden="false" customHeight="true" outlineLevel="0" collapsed="false">
      <c r="A16" s="8" t="s">
        <v>88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customFormat="false" ht="18" hidden="false" customHeight="true" outlineLevel="0" collapsed="false">
      <c r="A17" s="8" t="s">
        <v>89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customFormat="false" ht="18" hidden="false" customHeight="true" outlineLevel="0" collapsed="false">
      <c r="A18" s="8" t="s">
        <v>90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customFormat="false" ht="18" hidden="false" customHeight="true" outlineLevel="0" collapsed="false">
      <c r="A19" s="8" t="s">
        <v>91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customFormat="false" ht="18" hidden="false" customHeight="true" outlineLevel="0" collapsed="false">
      <c r="A20" s="8" t="s">
        <v>92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customFormat="false" ht="18" hidden="false" customHeight="true" outlineLevel="0" collapsed="false">
      <c r="A21" s="8" t="s">
        <v>93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</sheetData>
  <mergeCells count="12">
    <mergeCell ref="A1:N1"/>
    <mergeCell ref="A2:N2"/>
    <mergeCell ref="A4:N4"/>
    <mergeCell ref="B13:C13"/>
    <mergeCell ref="E13:G13"/>
    <mergeCell ref="A15:N15"/>
    <mergeCell ref="A16:N16"/>
    <mergeCell ref="A17:N17"/>
    <mergeCell ref="A18:N18"/>
    <mergeCell ref="A19:N19"/>
    <mergeCell ref="A20:N20"/>
    <mergeCell ref="A21:N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36"/>
    <col collapsed="false" customWidth="true" hidden="false" outlineLevel="0" max="9" min="8" style="0" width="16"/>
  </cols>
  <sheetData>
    <row r="1" customFormat="false" ht="31.5" hidden="false" customHeight="true" outlineLevel="0" collapsed="false">
      <c r="A1" s="9" t="s">
        <v>35</v>
      </c>
      <c r="B1" s="9"/>
      <c r="C1" s="9"/>
      <c r="D1" s="9"/>
      <c r="E1" s="9"/>
      <c r="F1" s="9"/>
      <c r="G1" s="9"/>
      <c r="H1" s="9"/>
      <c r="I1" s="9"/>
    </row>
    <row r="2" customFormat="false" ht="27.75" hidden="false" customHeight="true" outlineLevel="0" collapsed="false">
      <c r="A2" s="10" t="s">
        <v>94</v>
      </c>
      <c r="B2" s="10"/>
      <c r="C2" s="10"/>
      <c r="D2" s="10"/>
      <c r="E2" s="10"/>
      <c r="F2" s="10"/>
      <c r="G2" s="10"/>
      <c r="H2" s="10"/>
      <c r="I2" s="10"/>
    </row>
    <row r="4" customFormat="false" ht="31.5" hidden="false" customHeight="true" outlineLevel="0" collapsed="false">
      <c r="A4" s="11" t="s">
        <v>73</v>
      </c>
      <c r="B4" s="11" t="s">
        <v>47</v>
      </c>
      <c r="C4" s="11" t="s">
        <v>74</v>
      </c>
      <c r="D4" s="11" t="s">
        <v>95</v>
      </c>
      <c r="E4" s="11" t="s">
        <v>96</v>
      </c>
      <c r="F4" s="11" t="s">
        <v>97</v>
      </c>
      <c r="G4" s="11" t="s">
        <v>98</v>
      </c>
      <c r="H4" s="11" t="s">
        <v>99</v>
      </c>
      <c r="I4" s="11" t="s">
        <v>100</v>
      </c>
    </row>
    <row r="5" customFormat="false" ht="21.75" hidden="false" customHeight="true" outlineLevel="0" collapsed="false">
      <c r="A5" s="12" t="n">
        <v>10</v>
      </c>
      <c r="B5" s="13" t="str">
        <f aca="false">INDEX('3_VLSM_IPv4'!$C$8:$C$11, MATCH(A5,'3_VLSM_IPv4'!$B$8:$B$11,0))</f>
        <v>Administrativa</v>
      </c>
      <c r="C5" s="15" t="n">
        <f aca="false">INDEX('3_VLSM_IPv4'!$D$8:$D$11, MATCH(A5,'3_VLSM_IPv4'!$B$8:$B$11,0))</f>
        <v>20</v>
      </c>
      <c r="D5" s="15" t="str">
        <f aca="false">"192.168.1."&amp;INDEX('3_VLSM_IPv4'!$I$8:$I$11, MATCH(A5,'3_VLSM_IPv4'!$B$8:$B$11,0))</f>
        <v>192.168.1.192</v>
      </c>
      <c r="E5" s="15" t="str">
        <f aca="false">INDEX('3_VLSM_IPv4'!$N$8:$N$11, MATCH(A5,'3_VLSM_IPv4'!$B$8:$B$11,0))</f>
        <v>255.255.255.224</v>
      </c>
      <c r="F5" s="15" t="str">
        <f aca="false">"/"&amp;INDEX('3_VLSM_IPv4'!$G$8:$G$11, MATCH(A5,'3_VLSM_IPv4'!$B$8:$B$11,0))</f>
        <v>/27</v>
      </c>
      <c r="G5" s="15" t="str">
        <f aca="false">"192.168.1."&amp;INDEX('3_VLSM_IPv4'!$K$8:$K$11, MATCH(A5,'3_VLSM_IPv4'!$B$8:$B$11,0))&amp;" - 192.168.1."&amp;INDEX('3_VLSM_IPv4'!$L$8:$L$11, MATCH(A5,'3_VLSM_IPv4'!$B$8:$B$11,0))</f>
        <v>192.168.1.193 - 192.168.1.222</v>
      </c>
      <c r="H5" s="15" t="str">
        <f aca="false">"192.168.1."&amp;INDEX('3_VLSM_IPv4'!$J$8:$J$11, MATCH(A5,'3_VLSM_IPv4'!$B$8:$B$11,0))</f>
        <v>192.168.1.223</v>
      </c>
      <c r="I5" s="15" t="str">
        <f aca="false">"192.168.1."&amp;INDEX('3_VLSM_IPv4'!$K$8:$K$11, MATCH(A5,'3_VLSM_IPv4'!$B$8:$B$11,0))</f>
        <v>192.168.1.193</v>
      </c>
    </row>
    <row r="6" customFormat="false" ht="21.75" hidden="false" customHeight="true" outlineLevel="0" collapsed="false">
      <c r="A6" s="26" t="n">
        <v>20</v>
      </c>
      <c r="B6" s="27" t="str">
        <f aca="false">INDEX('3_VLSM_IPv4'!$C$8:$C$11, MATCH(A6,'3_VLSM_IPv4'!$B$8:$B$11,0))</f>
        <v>Financiera</v>
      </c>
      <c r="C6" s="28" t="n">
        <f aca="false">INDEX('3_VLSM_IPv4'!$D$8:$D$11, MATCH(A6,'3_VLSM_IPv4'!$B$8:$B$11,0))</f>
        <v>50</v>
      </c>
      <c r="D6" s="28" t="str">
        <f aca="false">"192.168.1."&amp;INDEX('3_VLSM_IPv4'!$I$8:$I$11, MATCH(A6,'3_VLSM_IPv4'!$B$8:$B$11,0))</f>
        <v>192.168.1.128</v>
      </c>
      <c r="E6" s="28" t="str">
        <f aca="false">INDEX('3_VLSM_IPv4'!$N$8:$N$11, MATCH(A6,'3_VLSM_IPv4'!$B$8:$B$11,0))</f>
        <v>255.255.255.192</v>
      </c>
      <c r="F6" s="28" t="str">
        <f aca="false">"/"&amp;INDEX('3_VLSM_IPv4'!$G$8:$G$11, MATCH(A6,'3_VLSM_IPv4'!$B$8:$B$11,0))</f>
        <v>/26</v>
      </c>
      <c r="G6" s="28" t="str">
        <f aca="false">"192.168.1."&amp;INDEX('3_VLSM_IPv4'!$K$8:$K$11, MATCH(A6,'3_VLSM_IPv4'!$B$8:$B$11,0))&amp;" - 192.168.1."&amp;INDEX('3_VLSM_IPv4'!$L$8:$L$11, MATCH(A6,'3_VLSM_IPv4'!$B$8:$B$11,0))</f>
        <v>192.168.1.129 - 192.168.1.190</v>
      </c>
      <c r="H6" s="28" t="str">
        <f aca="false">"192.168.1."&amp;INDEX('3_VLSM_IPv4'!$J$8:$J$11, MATCH(A6,'3_VLSM_IPv4'!$B$8:$B$11,0))</f>
        <v>192.168.1.191</v>
      </c>
      <c r="I6" s="28" t="str">
        <f aca="false">"192.168.1."&amp;INDEX('3_VLSM_IPv4'!$K$8:$K$11, MATCH(A6,'3_VLSM_IPv4'!$B$8:$B$11,0))</f>
        <v>192.168.1.129</v>
      </c>
    </row>
    <row r="7" customFormat="false" ht="21.75" hidden="false" customHeight="true" outlineLevel="0" collapsed="false">
      <c r="A7" s="12" t="n">
        <v>30</v>
      </c>
      <c r="B7" s="13" t="str">
        <f aca="false">INDEX('3_VLSM_IPv4'!$C$8:$C$11, MATCH(A7,'3_VLSM_IPv4'!$B$8:$B$11,0))</f>
        <v>Tecnicos</v>
      </c>
      <c r="C7" s="15" t="n">
        <f aca="false">INDEX('3_VLSM_IPv4'!$D$8:$D$11, MATCH(A7,'3_VLSM_IPv4'!$B$8:$B$11,0))</f>
        <v>20</v>
      </c>
      <c r="D7" s="15" t="str">
        <f aca="false">"192.168.1."&amp;INDEX('3_VLSM_IPv4'!$I$8:$I$11, MATCH(A7,'3_VLSM_IPv4'!$B$8:$B$11,0))</f>
        <v>192.168.1.224</v>
      </c>
      <c r="E7" s="15" t="str">
        <f aca="false">INDEX('3_VLSM_IPv4'!$N$8:$N$11, MATCH(A7,'3_VLSM_IPv4'!$B$8:$B$11,0))</f>
        <v>255.255.255.224</v>
      </c>
      <c r="F7" s="15" t="str">
        <f aca="false">"/"&amp;INDEX('3_VLSM_IPv4'!$G$8:$G$11, MATCH(A7,'3_VLSM_IPv4'!$B$8:$B$11,0))</f>
        <v>/27</v>
      </c>
      <c r="G7" s="15" t="str">
        <f aca="false">"192.168.1."&amp;INDEX('3_VLSM_IPv4'!$K$8:$K$11, MATCH(A7,'3_VLSM_IPv4'!$B$8:$B$11,0))&amp;" - 192.168.1."&amp;INDEX('3_VLSM_IPv4'!$L$8:$L$11, MATCH(A7,'3_VLSM_IPv4'!$B$8:$B$11,0))</f>
        <v>192.168.1.225 - 192.168.1.254</v>
      </c>
      <c r="H7" s="15" t="str">
        <f aca="false">"192.168.1."&amp;INDEX('3_VLSM_IPv4'!$J$8:$J$11, MATCH(A7,'3_VLSM_IPv4'!$B$8:$B$11,0))</f>
        <v>192.168.1.255</v>
      </c>
      <c r="I7" s="15" t="str">
        <f aca="false">"192.168.1."&amp;INDEX('3_VLSM_IPv4'!$K$8:$K$11, MATCH(A7,'3_VLSM_IPv4'!$B$8:$B$11,0))</f>
        <v>192.168.1.225</v>
      </c>
    </row>
    <row r="8" customFormat="false" ht="21.75" hidden="false" customHeight="true" outlineLevel="0" collapsed="false">
      <c r="A8" s="26" t="n">
        <v>40</v>
      </c>
      <c r="B8" s="27" t="str">
        <f aca="false">INDEX('3_VLSM_IPv4'!$C$8:$C$11, MATCH(A8,'3_VLSM_IPv4'!$B$8:$B$11,0))</f>
        <v>Visitantes</v>
      </c>
      <c r="C8" s="28" t="n">
        <f aca="false">INDEX('3_VLSM_IPv4'!$D$8:$D$11, MATCH(A8,'3_VLSM_IPv4'!$B$8:$B$11,0))</f>
        <v>100</v>
      </c>
      <c r="D8" s="28" t="str">
        <f aca="false">"192.168.1."&amp;INDEX('3_VLSM_IPv4'!$I$8:$I$11, MATCH(A8,'3_VLSM_IPv4'!$B$8:$B$11,0))</f>
        <v>192.168.1.0</v>
      </c>
      <c r="E8" s="28" t="str">
        <f aca="false">INDEX('3_VLSM_IPv4'!$N$8:$N$11, MATCH(A8,'3_VLSM_IPv4'!$B$8:$B$11,0))</f>
        <v>255.255.255.128</v>
      </c>
      <c r="F8" s="28" t="str">
        <f aca="false">"/"&amp;INDEX('3_VLSM_IPv4'!$G$8:$G$11, MATCH(A8,'3_VLSM_IPv4'!$B$8:$B$11,0))</f>
        <v>/25</v>
      </c>
      <c r="G8" s="28" t="str">
        <f aca="false">"192.168.1."&amp;INDEX('3_VLSM_IPv4'!$K$8:$K$11, MATCH(A8,'3_VLSM_IPv4'!$B$8:$B$11,0))&amp;" - 192.168.1."&amp;INDEX('3_VLSM_IPv4'!$L$8:$L$11, MATCH(A8,'3_VLSM_IPv4'!$B$8:$B$11,0))</f>
        <v>192.168.1.1 - 192.168.1.126</v>
      </c>
      <c r="H8" s="28" t="str">
        <f aca="false">"192.168.1."&amp;INDEX('3_VLSM_IPv4'!$J$8:$J$11, MATCH(A8,'3_VLSM_IPv4'!$B$8:$B$11,0))</f>
        <v>192.168.1.127</v>
      </c>
      <c r="I8" s="28" t="str">
        <f aca="false">"192.168.1."&amp;INDEX('3_VLSM_IPv4'!$K$8:$K$11, MATCH(A8,'3_VLSM_IPv4'!$B$8:$B$11,0))</f>
        <v>192.168.1.1</v>
      </c>
    </row>
    <row r="10" customFormat="false" ht="26.85" hidden="false" customHeight="true" outlineLevel="0" collapsed="false">
      <c r="A10" s="29" t="s">
        <v>101</v>
      </c>
      <c r="B10" s="29"/>
      <c r="C10" s="30" t="n">
        <f aca="false">SUM(C5:C8)</f>
        <v>190</v>
      </c>
    </row>
  </sheetData>
  <mergeCells count="3">
    <mergeCell ref="A1:I1"/>
    <mergeCell ref="A2:I2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5" min="4" style="0" width="30"/>
    <col collapsed="false" customWidth="true" hidden="false" outlineLevel="0" max="6" min="6" style="0" width="36"/>
    <col collapsed="false" customWidth="true" hidden="false" outlineLevel="0" max="7" min="7" style="0" width="16"/>
  </cols>
  <sheetData>
    <row r="1" customFormat="false" ht="31.5" hidden="false" customHeight="true" outlineLevel="0" collapsed="false">
      <c r="A1" s="9" t="s">
        <v>102</v>
      </c>
      <c r="B1" s="9"/>
      <c r="C1" s="9"/>
      <c r="D1" s="9"/>
      <c r="E1" s="9"/>
      <c r="F1" s="9"/>
      <c r="G1" s="9"/>
    </row>
    <row r="2" customFormat="false" ht="27.75" hidden="false" customHeight="true" outlineLevel="0" collapsed="false">
      <c r="A2" s="10" t="s">
        <v>103</v>
      </c>
      <c r="B2" s="10"/>
      <c r="C2" s="10"/>
      <c r="D2" s="10"/>
      <c r="E2" s="10"/>
      <c r="F2" s="10"/>
      <c r="G2" s="10"/>
    </row>
    <row r="4" customFormat="false" ht="21.75" hidden="false" customHeight="true" outlineLevel="0" collapsed="false">
      <c r="A4" s="18" t="s">
        <v>104</v>
      </c>
      <c r="B4" s="18"/>
      <c r="C4" s="18"/>
      <c r="D4" s="18"/>
      <c r="E4" s="18"/>
      <c r="F4" s="18"/>
      <c r="G4" s="18"/>
    </row>
    <row r="5" customFormat="false" ht="21.75" hidden="false" customHeight="true" outlineLevel="0" collapsed="false">
      <c r="A5" s="17" t="s">
        <v>105</v>
      </c>
      <c r="B5" s="19" t="s">
        <v>106</v>
      </c>
      <c r="C5" s="17" t="s">
        <v>107</v>
      </c>
      <c r="D5" s="31" t="s">
        <v>108</v>
      </c>
      <c r="E5" s="17" t="s">
        <v>109</v>
      </c>
      <c r="F5" s="31" t="s">
        <v>110</v>
      </c>
    </row>
    <row r="7" customFormat="false" ht="21.75" hidden="false" customHeight="true" outlineLevel="0" collapsed="false">
      <c r="A7" s="1" t="s">
        <v>111</v>
      </c>
      <c r="B7" s="1"/>
      <c r="C7" s="1"/>
      <c r="D7" s="1"/>
      <c r="E7" s="1"/>
      <c r="F7" s="1"/>
      <c r="G7" s="1"/>
    </row>
    <row r="8" customFormat="false" ht="31.5" hidden="false" customHeight="true" outlineLevel="0" collapsed="false">
      <c r="A8" s="11" t="s">
        <v>73</v>
      </c>
      <c r="B8" s="11" t="s">
        <v>47</v>
      </c>
      <c r="C8" s="11" t="s">
        <v>112</v>
      </c>
      <c r="D8" s="11" t="s">
        <v>113</v>
      </c>
      <c r="E8" s="11" t="s">
        <v>114</v>
      </c>
      <c r="F8" s="11" t="s">
        <v>115</v>
      </c>
      <c r="G8" s="11" t="s">
        <v>116</v>
      </c>
    </row>
    <row r="9" customFormat="false" ht="21.75" hidden="false" customHeight="true" outlineLevel="0" collapsed="false">
      <c r="A9" s="12" t="n">
        <v>10</v>
      </c>
      <c r="B9" s="13" t="s">
        <v>52</v>
      </c>
      <c r="C9" s="22" t="str">
        <f aca="false">$B$5&amp;":"&amp;"10"&amp;"::"&amp;$D$5</f>
        <v>2001:DB8:ACAD:10::/64</v>
      </c>
      <c r="D9" s="21" t="str">
        <f aca="false">$B$5&amp;":"&amp;"10"&amp;$F$5</f>
        <v>2001:DB8:ACAD:10::1</v>
      </c>
      <c r="E9" s="15" t="str">
        <f aca="false">$B$5&amp;":"&amp;"10"&amp;"::2"</f>
        <v>2001:DB8:ACAD:10::2</v>
      </c>
      <c r="F9" s="15" t="str">
        <f aca="false">$B$5&amp;":"&amp;"10"&amp;":FFFF:FFFF:FFFF:FFFE"</f>
        <v>2001:DB8:ACAD:10:FFFF:FFFF:FFFF:FFFE</v>
      </c>
      <c r="G9" s="32" t="n">
        <f aca="false">POWER(2,64)</f>
        <v>1.84467440737096E+019</v>
      </c>
    </row>
    <row r="10" customFormat="false" ht="21.75" hidden="false" customHeight="true" outlineLevel="0" collapsed="false">
      <c r="A10" s="26" t="n">
        <v>20</v>
      </c>
      <c r="B10" s="27" t="s">
        <v>53</v>
      </c>
      <c r="C10" s="33" t="str">
        <f aca="false">$B$5&amp;":"&amp;"20"&amp;"::"&amp;$D$5</f>
        <v>2001:DB8:ACAD:20::/64</v>
      </c>
      <c r="D10" s="34" t="str">
        <f aca="false">$B$5&amp;":"&amp;"20"&amp;$F$5</f>
        <v>2001:DB8:ACAD:20::1</v>
      </c>
      <c r="E10" s="28" t="str">
        <f aca="false">$B$5&amp;":"&amp;"20"&amp;"::2"</f>
        <v>2001:DB8:ACAD:20::2</v>
      </c>
      <c r="F10" s="28" t="str">
        <f aca="false">$B$5&amp;":"&amp;"20"&amp;":FFFF:FFFF:FFFF:FFFE"</f>
        <v>2001:DB8:ACAD:20:FFFF:FFFF:FFFF:FFFE</v>
      </c>
      <c r="G10" s="35" t="n">
        <f aca="false">POWER(2,64)</f>
        <v>1.84467440737096E+019</v>
      </c>
    </row>
    <row r="11" customFormat="false" ht="21.75" hidden="false" customHeight="true" outlineLevel="0" collapsed="false">
      <c r="A11" s="12" t="n">
        <v>30</v>
      </c>
      <c r="B11" s="13" t="s">
        <v>54</v>
      </c>
      <c r="C11" s="22" t="str">
        <f aca="false">$B$5&amp;":"&amp;"30"&amp;"::"&amp;$D$5</f>
        <v>2001:DB8:ACAD:30::/64</v>
      </c>
      <c r="D11" s="21" t="str">
        <f aca="false">$B$5&amp;":"&amp;"30"&amp;$F$5</f>
        <v>2001:DB8:ACAD:30::1</v>
      </c>
      <c r="E11" s="15" t="str">
        <f aca="false">$B$5&amp;":"&amp;"30"&amp;"::2"</f>
        <v>2001:DB8:ACAD:30::2</v>
      </c>
      <c r="F11" s="15" t="str">
        <f aca="false">$B$5&amp;":"&amp;"30"&amp;":FFFF:FFFF:FFFF:FFFE"</f>
        <v>2001:DB8:ACAD:30:FFFF:FFFF:FFFF:FFFE</v>
      </c>
      <c r="G11" s="32" t="n">
        <f aca="false">POWER(2,64)</f>
        <v>1.84467440737096E+019</v>
      </c>
    </row>
    <row r="12" customFormat="false" ht="21.75" hidden="false" customHeight="true" outlineLevel="0" collapsed="false">
      <c r="A12" s="26" t="n">
        <v>40</v>
      </c>
      <c r="B12" s="27" t="s">
        <v>55</v>
      </c>
      <c r="C12" s="33" t="str">
        <f aca="false">$B$5&amp;":"&amp;"40"&amp;"::"&amp;$D$5</f>
        <v>2001:DB8:ACAD:40::/64</v>
      </c>
      <c r="D12" s="34" t="str">
        <f aca="false">$B$5&amp;":"&amp;"40"&amp;$F$5</f>
        <v>2001:DB8:ACAD:40::1</v>
      </c>
      <c r="E12" s="28" t="str">
        <f aca="false">$B$5&amp;":"&amp;"40"&amp;"::2"</f>
        <v>2001:DB8:ACAD:40::2</v>
      </c>
      <c r="F12" s="28" t="str">
        <f aca="false">$B$5&amp;":"&amp;"40"&amp;":FFFF:FFFF:FFFF:FFFE"</f>
        <v>2001:DB8:ACAD:40:FFFF:FFFF:FFFF:FFFE</v>
      </c>
      <c r="G12" s="35" t="n">
        <f aca="false">POWER(2,64)</f>
        <v>1.84467440737096E+019</v>
      </c>
    </row>
    <row r="14" customFormat="false" ht="21.75" hidden="false" customHeight="true" outlineLevel="0" collapsed="false">
      <c r="A14" s="6" t="s">
        <v>117</v>
      </c>
      <c r="B14" s="6"/>
      <c r="C14" s="6"/>
      <c r="D14" s="6"/>
      <c r="E14" s="6"/>
      <c r="F14" s="6"/>
      <c r="G14" s="6"/>
    </row>
    <row r="15" customFormat="false" ht="21.75" hidden="false" customHeight="true" outlineLevel="0" collapsed="false">
      <c r="A15" s="17" t="s">
        <v>118</v>
      </c>
      <c r="B15" s="8" t="s">
        <v>119</v>
      </c>
      <c r="C15" s="8"/>
      <c r="D15" s="8"/>
      <c r="E15" s="8"/>
      <c r="F15" s="8"/>
      <c r="G15" s="8"/>
    </row>
    <row r="16" customFormat="false" ht="21.75" hidden="false" customHeight="true" outlineLevel="0" collapsed="false">
      <c r="A16" s="17" t="s">
        <v>120</v>
      </c>
      <c r="B16" s="8" t="s">
        <v>121</v>
      </c>
      <c r="C16" s="8"/>
      <c r="D16" s="8"/>
      <c r="E16" s="8"/>
      <c r="F16" s="8"/>
      <c r="G16" s="8"/>
    </row>
    <row r="17" customFormat="false" ht="21.75" hidden="false" customHeight="true" outlineLevel="0" collapsed="false">
      <c r="A17" s="17" t="s">
        <v>122</v>
      </c>
      <c r="B17" s="8" t="s">
        <v>123</v>
      </c>
      <c r="C17" s="8"/>
      <c r="D17" s="8"/>
      <c r="E17" s="8"/>
      <c r="F17" s="8"/>
      <c r="G17" s="8"/>
    </row>
    <row r="18" customFormat="false" ht="21.75" hidden="false" customHeight="true" outlineLevel="0" collapsed="false">
      <c r="A18" s="17" t="s">
        <v>124</v>
      </c>
      <c r="B18" s="8" t="s">
        <v>125</v>
      </c>
      <c r="C18" s="8"/>
      <c r="D18" s="8"/>
      <c r="E18" s="8"/>
      <c r="F18" s="8"/>
      <c r="G18" s="8"/>
    </row>
    <row r="19" customFormat="false" ht="21.75" hidden="false" customHeight="true" outlineLevel="0" collapsed="false">
      <c r="A19" s="17" t="s">
        <v>126</v>
      </c>
      <c r="B19" s="8" t="s">
        <v>127</v>
      </c>
      <c r="C19" s="8"/>
      <c r="D19" s="8"/>
      <c r="E19" s="8"/>
      <c r="F19" s="8"/>
      <c r="G19" s="8"/>
    </row>
    <row r="20" customFormat="false" ht="21.75" hidden="false" customHeight="true" outlineLevel="0" collapsed="false">
      <c r="A20" s="17" t="s">
        <v>128</v>
      </c>
      <c r="B20" s="8" t="s">
        <v>129</v>
      </c>
      <c r="C20" s="8"/>
      <c r="D20" s="8"/>
      <c r="E20" s="8"/>
      <c r="F20" s="8"/>
      <c r="G20" s="8"/>
    </row>
  </sheetData>
  <mergeCells count="11">
    <mergeCell ref="A1:G1"/>
    <mergeCell ref="A2:G2"/>
    <mergeCell ref="A4:G4"/>
    <mergeCell ref="A7:G7"/>
    <mergeCell ref="A14:G14"/>
    <mergeCell ref="B15:G15"/>
    <mergeCell ref="B16:G16"/>
    <mergeCell ref="B17:G17"/>
    <mergeCell ref="B18:G18"/>
    <mergeCell ref="B19:G19"/>
    <mergeCell ref="B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8"/>
    <col collapsed="false" customWidth="true" hidden="false" outlineLevel="0" max="5" min="4" style="0" width="10"/>
    <col collapsed="false" customWidth="true" hidden="false" outlineLevel="0" max="6" min="6" style="0" width="50"/>
  </cols>
  <sheetData>
    <row r="1" customFormat="false" ht="31.5" hidden="false" customHeight="true" outlineLevel="0" collapsed="false">
      <c r="A1" s="9" t="s">
        <v>130</v>
      </c>
      <c r="B1" s="9"/>
      <c r="C1" s="9"/>
      <c r="D1" s="9"/>
      <c r="E1" s="9"/>
      <c r="F1" s="9"/>
    </row>
    <row r="2" customFormat="false" ht="27.75" hidden="false" customHeight="true" outlineLevel="0" collapsed="false">
      <c r="A2" s="10" t="s">
        <v>131</v>
      </c>
      <c r="B2" s="10"/>
      <c r="C2" s="10"/>
      <c r="D2" s="10"/>
      <c r="E2" s="10"/>
      <c r="F2" s="10"/>
    </row>
    <row r="4" customFormat="false" ht="31.5" hidden="false" customHeight="true" outlineLevel="0" collapsed="false">
      <c r="A4" s="11" t="s">
        <v>73</v>
      </c>
      <c r="B4" s="11" t="s">
        <v>47</v>
      </c>
      <c r="C4" s="11" t="s">
        <v>132</v>
      </c>
      <c r="D4" s="11" t="s">
        <v>133</v>
      </c>
      <c r="E4" s="11" t="s">
        <v>134</v>
      </c>
      <c r="F4" s="11" t="s">
        <v>135</v>
      </c>
    </row>
    <row r="5" customFormat="false" ht="21.75" hidden="false" customHeight="true" outlineLevel="0" collapsed="false">
      <c r="A5" s="12" t="n">
        <v>10</v>
      </c>
      <c r="B5" s="13" t="s">
        <v>52</v>
      </c>
      <c r="C5" s="15" t="s">
        <v>136</v>
      </c>
      <c r="D5" s="15" t="s">
        <v>137</v>
      </c>
      <c r="E5" s="15" t="n">
        <v>5</v>
      </c>
      <c r="F5" s="36" t="str">
        <f aca="false">"interface range "&amp;C5&amp;" ; switchport mode access ; switchport access vlan "&amp;A5</f>
        <v>interface range Fa0/1 - Fa0/5 ; switchport mode access ; switchport access vlan 10</v>
      </c>
    </row>
    <row r="6" customFormat="false" ht="21.75" hidden="false" customHeight="true" outlineLevel="0" collapsed="false">
      <c r="A6" s="26" t="n">
        <v>20</v>
      </c>
      <c r="B6" s="27" t="s">
        <v>53</v>
      </c>
      <c r="C6" s="28" t="s">
        <v>138</v>
      </c>
      <c r="D6" s="28" t="s">
        <v>137</v>
      </c>
      <c r="E6" s="28" t="n">
        <v>10</v>
      </c>
      <c r="F6" s="37" t="str">
        <f aca="false">"interface range "&amp;C6&amp;" ; switchport mode access ; switchport access vlan "&amp;A6</f>
        <v>interface range Fa0/6 - Fa0/15 ; switchport mode access ; switchport access vlan 20</v>
      </c>
    </row>
    <row r="7" customFormat="false" ht="21.75" hidden="false" customHeight="true" outlineLevel="0" collapsed="false">
      <c r="A7" s="12" t="n">
        <v>30</v>
      </c>
      <c r="B7" s="13" t="s">
        <v>54</v>
      </c>
      <c r="C7" s="15" t="s">
        <v>139</v>
      </c>
      <c r="D7" s="15" t="s">
        <v>137</v>
      </c>
      <c r="E7" s="15" t="n">
        <v>5</v>
      </c>
      <c r="F7" s="36" t="str">
        <f aca="false">"interface range "&amp;C7&amp;" ; switchport mode access ; switchport access vlan "&amp;A7</f>
        <v>interface range Fa0/16 - Fa0/20 ; switchport mode access ; switchport access vlan 30</v>
      </c>
    </row>
    <row r="8" customFormat="false" ht="21.75" hidden="false" customHeight="true" outlineLevel="0" collapsed="false">
      <c r="A8" s="26" t="n">
        <v>40</v>
      </c>
      <c r="B8" s="27" t="s">
        <v>55</v>
      </c>
      <c r="C8" s="28" t="s">
        <v>140</v>
      </c>
      <c r="D8" s="28" t="s">
        <v>137</v>
      </c>
      <c r="E8" s="28" t="n">
        <v>4</v>
      </c>
      <c r="F8" s="37" t="str">
        <f aca="false">"interface range "&amp;C8&amp;" ; switchport mode access ; switchport access vlan "&amp;A8</f>
        <v>interface range Fa0/21 - Fa0/24 ; switchport mode access ; switchport access vlan 40</v>
      </c>
    </row>
    <row r="10" customFormat="false" ht="21.75" hidden="false" customHeight="true" outlineLevel="0" collapsed="false">
      <c r="A10" s="18" t="s">
        <v>141</v>
      </c>
      <c r="B10" s="18"/>
      <c r="C10" s="18"/>
      <c r="D10" s="18"/>
      <c r="E10" s="18"/>
      <c r="F10" s="18"/>
    </row>
    <row r="11" customFormat="false" ht="21.75" hidden="false" customHeight="true" outlineLevel="0" collapsed="false">
      <c r="A11" s="17" t="s">
        <v>142</v>
      </c>
      <c r="B11" s="21" t="s">
        <v>143</v>
      </c>
      <c r="C11" s="17" t="s">
        <v>144</v>
      </c>
      <c r="D11" s="15" t="s">
        <v>145</v>
      </c>
      <c r="E11" s="38" t="s">
        <v>146</v>
      </c>
      <c r="F11" s="38"/>
    </row>
  </sheetData>
  <mergeCells count="4">
    <mergeCell ref="A1:F1"/>
    <mergeCell ref="A2:F2"/>
    <mergeCell ref="A10:F10"/>
    <mergeCell ref="E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4" min="4" style="0" width="28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7" min="7" style="0" width="12"/>
  </cols>
  <sheetData>
    <row r="1" customFormat="false" ht="31.5" hidden="false" customHeight="true" outlineLevel="0" collapsed="false">
      <c r="A1" s="9" t="s">
        <v>147</v>
      </c>
      <c r="B1" s="9"/>
      <c r="C1" s="9"/>
      <c r="D1" s="9"/>
      <c r="E1" s="9"/>
      <c r="F1" s="9"/>
      <c r="G1" s="9"/>
    </row>
    <row r="2" customFormat="false" ht="27.75" hidden="false" customHeight="true" outlineLevel="0" collapsed="false">
      <c r="A2" s="10" t="s">
        <v>148</v>
      </c>
      <c r="B2" s="10"/>
      <c r="C2" s="10"/>
      <c r="D2" s="10"/>
      <c r="E2" s="10"/>
      <c r="F2" s="10"/>
      <c r="G2" s="10"/>
    </row>
    <row r="4" customFormat="false" ht="21.75" hidden="false" customHeight="true" outlineLevel="0" collapsed="false">
      <c r="A4" s="1" t="s">
        <v>149</v>
      </c>
      <c r="B4" s="1"/>
      <c r="C4" s="1"/>
      <c r="D4" s="1"/>
      <c r="E4" s="1"/>
      <c r="F4" s="1"/>
      <c r="G4" s="1"/>
    </row>
    <row r="5" customFormat="false" ht="31.5" hidden="false" customHeight="true" outlineLevel="0" collapsed="false">
      <c r="A5" s="11" t="s">
        <v>150</v>
      </c>
      <c r="B5" s="11" t="s">
        <v>151</v>
      </c>
      <c r="C5" s="11" t="s">
        <v>73</v>
      </c>
      <c r="D5" s="11" t="s">
        <v>152</v>
      </c>
      <c r="E5" s="11" t="s">
        <v>153</v>
      </c>
      <c r="F5" s="11" t="s">
        <v>154</v>
      </c>
      <c r="G5" s="11" t="s">
        <v>155</v>
      </c>
    </row>
    <row r="6" customFormat="false" ht="19.5" hidden="false" customHeight="true" outlineLevel="0" collapsed="false">
      <c r="A6" s="15" t="n">
        <v>1</v>
      </c>
      <c r="B6" s="13" t="s">
        <v>156</v>
      </c>
      <c r="C6" s="15" t="n">
        <v>10</v>
      </c>
      <c r="D6" s="15" t="s">
        <v>157</v>
      </c>
      <c r="E6" s="39" t="s">
        <v>158</v>
      </c>
      <c r="F6" s="36" t="s">
        <v>159</v>
      </c>
      <c r="G6" s="40"/>
    </row>
    <row r="7" customFormat="false" ht="19.5" hidden="false" customHeight="true" outlineLevel="0" collapsed="false">
      <c r="A7" s="15" t="n">
        <v>2</v>
      </c>
      <c r="B7" s="13" t="s">
        <v>156</v>
      </c>
      <c r="C7" s="15" t="n">
        <v>10</v>
      </c>
      <c r="D7" s="15" t="s">
        <v>160</v>
      </c>
      <c r="E7" s="39" t="s">
        <v>161</v>
      </c>
      <c r="F7" s="36" t="s">
        <v>162</v>
      </c>
      <c r="G7" s="40"/>
    </row>
    <row r="8" customFormat="false" ht="19.5" hidden="false" customHeight="true" outlineLevel="0" collapsed="false">
      <c r="A8" s="15" t="n">
        <v>3</v>
      </c>
      <c r="B8" s="13" t="s">
        <v>163</v>
      </c>
      <c r="C8" s="15" t="n">
        <v>20</v>
      </c>
      <c r="D8" s="15" t="s">
        <v>157</v>
      </c>
      <c r="E8" s="39" t="s">
        <v>164</v>
      </c>
      <c r="F8" s="36" t="s">
        <v>159</v>
      </c>
      <c r="G8" s="40"/>
    </row>
    <row r="9" customFormat="false" ht="19.5" hidden="false" customHeight="true" outlineLevel="0" collapsed="false">
      <c r="A9" s="15" t="n">
        <v>4</v>
      </c>
      <c r="B9" s="13" t="s">
        <v>165</v>
      </c>
      <c r="C9" s="15" t="n">
        <v>30</v>
      </c>
      <c r="D9" s="15" t="s">
        <v>166</v>
      </c>
      <c r="E9" s="39" t="s">
        <v>167</v>
      </c>
      <c r="F9" s="36" t="s">
        <v>168</v>
      </c>
      <c r="G9" s="40"/>
    </row>
    <row r="10" customFormat="false" ht="19.5" hidden="false" customHeight="true" outlineLevel="0" collapsed="false">
      <c r="A10" s="15" t="n">
        <v>5</v>
      </c>
      <c r="B10" s="13" t="s">
        <v>169</v>
      </c>
      <c r="C10" s="15" t="n">
        <v>40</v>
      </c>
      <c r="D10" s="15" t="s">
        <v>170</v>
      </c>
      <c r="E10" s="39" t="s">
        <v>171</v>
      </c>
      <c r="F10" s="36" t="s">
        <v>172</v>
      </c>
      <c r="G10" s="40"/>
    </row>
    <row r="11" customFormat="false" ht="19.5" hidden="false" customHeight="true" outlineLevel="0" collapsed="false">
      <c r="A11" s="15" t="n">
        <v>6</v>
      </c>
      <c r="B11" s="13" t="s">
        <v>156</v>
      </c>
      <c r="C11" s="15" t="n">
        <v>10</v>
      </c>
      <c r="D11" s="15" t="s">
        <v>173</v>
      </c>
      <c r="E11" s="39" t="s">
        <v>174</v>
      </c>
      <c r="F11" s="36" t="s">
        <v>175</v>
      </c>
      <c r="G11" s="40"/>
    </row>
    <row r="14" customFormat="false" ht="21.75" hidden="false" customHeight="true" outlineLevel="0" collapsed="false">
      <c r="A14" s="18" t="s">
        <v>176</v>
      </c>
      <c r="B14" s="18"/>
      <c r="C14" s="18"/>
      <c r="D14" s="18"/>
      <c r="E14" s="18"/>
      <c r="F14" s="18"/>
      <c r="G14" s="18"/>
    </row>
    <row r="15" customFormat="false" ht="31.5" hidden="false" customHeight="true" outlineLevel="0" collapsed="false">
      <c r="A15" s="11" t="s">
        <v>150</v>
      </c>
      <c r="B15" s="11" t="s">
        <v>151</v>
      </c>
      <c r="C15" s="11" t="s">
        <v>73</v>
      </c>
      <c r="D15" s="11" t="s">
        <v>152</v>
      </c>
      <c r="E15" s="11" t="s">
        <v>153</v>
      </c>
      <c r="F15" s="11" t="s">
        <v>154</v>
      </c>
      <c r="G15" s="11" t="s">
        <v>155</v>
      </c>
    </row>
    <row r="16" customFormat="false" ht="19.5" hidden="false" customHeight="true" outlineLevel="0" collapsed="false">
      <c r="A16" s="15" t="n">
        <v>1</v>
      </c>
      <c r="B16" s="13" t="s">
        <v>156</v>
      </c>
      <c r="C16" s="15" t="n">
        <v>10</v>
      </c>
      <c r="D16" s="41" t="s">
        <v>177</v>
      </c>
      <c r="E16" s="39" t="s">
        <v>158</v>
      </c>
      <c r="F16" s="42" t="s">
        <v>178</v>
      </c>
      <c r="G16" s="40"/>
    </row>
    <row r="17" customFormat="false" ht="19.5" hidden="false" customHeight="true" outlineLevel="0" collapsed="false">
      <c r="A17" s="15" t="n">
        <v>2</v>
      </c>
      <c r="B17" s="13" t="s">
        <v>156</v>
      </c>
      <c r="C17" s="15" t="n">
        <v>10</v>
      </c>
      <c r="D17" s="41" t="s">
        <v>179</v>
      </c>
      <c r="E17" s="39" t="s">
        <v>161</v>
      </c>
      <c r="F17" s="42" t="s">
        <v>180</v>
      </c>
      <c r="G17" s="40"/>
    </row>
    <row r="18" customFormat="false" ht="19.5" hidden="false" customHeight="true" outlineLevel="0" collapsed="false">
      <c r="A18" s="15" t="n">
        <v>3</v>
      </c>
      <c r="B18" s="13" t="s">
        <v>163</v>
      </c>
      <c r="C18" s="15" t="n">
        <v>20</v>
      </c>
      <c r="D18" s="41" t="s">
        <v>181</v>
      </c>
      <c r="E18" s="39" t="s">
        <v>171</v>
      </c>
      <c r="F18" s="42" t="s">
        <v>182</v>
      </c>
      <c r="G18" s="40"/>
    </row>
    <row r="19" customFormat="false" ht="19.5" hidden="false" customHeight="true" outlineLevel="0" collapsed="false">
      <c r="A19" s="15" t="n">
        <v>4</v>
      </c>
      <c r="B19" s="13" t="s">
        <v>165</v>
      </c>
      <c r="C19" s="15" t="n">
        <v>30</v>
      </c>
      <c r="D19" s="41" t="s">
        <v>183</v>
      </c>
      <c r="E19" s="39" t="s">
        <v>167</v>
      </c>
      <c r="F19" s="42" t="s">
        <v>184</v>
      </c>
      <c r="G19" s="40"/>
    </row>
    <row r="20" customFormat="false" ht="19.5" hidden="false" customHeight="true" outlineLevel="0" collapsed="false">
      <c r="A20" s="15" t="n">
        <v>5</v>
      </c>
      <c r="B20" s="13" t="s">
        <v>169</v>
      </c>
      <c r="C20" s="15" t="n">
        <v>40</v>
      </c>
      <c r="D20" s="41" t="s">
        <v>177</v>
      </c>
      <c r="E20" s="39" t="s">
        <v>164</v>
      </c>
      <c r="F20" s="42" t="s">
        <v>178</v>
      </c>
      <c r="G20" s="40"/>
    </row>
    <row r="21" customFormat="false" ht="19.5" hidden="false" customHeight="true" outlineLevel="0" collapsed="false">
      <c r="A21" s="15" t="n">
        <v>6</v>
      </c>
      <c r="B21" s="13" t="s">
        <v>156</v>
      </c>
      <c r="C21" s="15" t="n">
        <v>10</v>
      </c>
      <c r="D21" s="41" t="s">
        <v>185</v>
      </c>
      <c r="E21" s="39" t="s">
        <v>174</v>
      </c>
      <c r="F21" s="42" t="s">
        <v>186</v>
      </c>
      <c r="G21" s="40"/>
    </row>
    <row r="23" customFormat="false" ht="15" hidden="false" customHeight="true" outlineLevel="0" collapsed="false">
      <c r="A23" s="29" t="s">
        <v>187</v>
      </c>
      <c r="B23" s="29"/>
      <c r="C23" s="29"/>
      <c r="D23" s="29"/>
      <c r="E23" s="29"/>
      <c r="F23" s="29"/>
      <c r="G23" s="30" t="n">
        <f aca="false">COUNTIF(G6:G11,"OK")+COUNTIF(G16:G21,"OK")</f>
        <v>0</v>
      </c>
    </row>
  </sheetData>
  <mergeCells count="5">
    <mergeCell ref="A1:G1"/>
    <mergeCell ref="A2:G2"/>
    <mergeCell ref="A4:G4"/>
    <mergeCell ref="A14:G14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5"/>
    <col collapsed="false" customWidth="true" hidden="false" outlineLevel="0" max="3" min="3" style="0" width="36"/>
  </cols>
  <sheetData>
    <row r="1" customFormat="false" ht="31.5" hidden="false" customHeight="true" outlineLevel="0" collapsed="false">
      <c r="A1" s="9" t="s">
        <v>188</v>
      </c>
      <c r="B1" s="9"/>
      <c r="C1" s="9"/>
    </row>
    <row r="2" customFormat="false" ht="27.75" hidden="false" customHeight="true" outlineLevel="0" collapsed="false">
      <c r="A2" s="10" t="s">
        <v>189</v>
      </c>
      <c r="B2" s="10"/>
      <c r="C2" s="10"/>
    </row>
    <row r="4" customFormat="false" ht="27.75" hidden="false" customHeight="true" outlineLevel="0" collapsed="false">
      <c r="A4" s="11" t="s">
        <v>190</v>
      </c>
      <c r="B4" s="11" t="s">
        <v>191</v>
      </c>
      <c r="C4" s="11" t="s">
        <v>192</v>
      </c>
    </row>
    <row r="5" customFormat="false" ht="15" hidden="false" customHeight="false" outlineLevel="0" collapsed="false">
      <c r="A5" s="43" t="s">
        <v>193</v>
      </c>
      <c r="B5" s="39" t="str">
        <f aca="false">"encapsulation dot1Q "&amp;10</f>
        <v>encapsulation dot1Q 10</v>
      </c>
      <c r="C5" s="39" t="s">
        <v>194</v>
      </c>
    </row>
    <row r="6" customFormat="false" ht="15" hidden="false" customHeight="false" outlineLevel="0" collapsed="false">
      <c r="A6" s="43" t="s">
        <v>193</v>
      </c>
      <c r="B6" s="39" t="str">
        <f aca="false">"ip address 192.168.1."&amp;INDEX('3_VLSM_IPv4'!$K$8:$K$11, MATCH(10,'3_VLSM_IPv4'!$B$8:$B$11,0))&amp;" "&amp;INDEX('3_VLSM_IPv4'!$N$8:$N$11, MATCH(10,'3_VLSM_IPv4'!$B$8:$B$11,0))</f>
        <v>ip address 192.168.1.193 255.255.255.224</v>
      </c>
      <c r="C6" s="39" t="s">
        <v>195</v>
      </c>
    </row>
    <row r="7" customFormat="false" ht="15" hidden="false" customHeight="false" outlineLevel="0" collapsed="false">
      <c r="A7" s="43" t="s">
        <v>193</v>
      </c>
      <c r="B7" s="39" t="str">
        <f aca="false">"ipv6 address 2001:DB8:ACAD:"&amp;10&amp;"::1/64"</f>
        <v>ipv6 address 2001:DB8:ACAD:10::1/64</v>
      </c>
      <c r="C7" s="39" t="s">
        <v>196</v>
      </c>
    </row>
    <row r="8" customFormat="false" ht="15" hidden="false" customHeight="false" outlineLevel="0" collapsed="false">
      <c r="A8" s="43" t="s">
        <v>193</v>
      </c>
      <c r="B8" s="39" t="s">
        <v>197</v>
      </c>
      <c r="C8" s="39" t="s">
        <v>198</v>
      </c>
    </row>
    <row r="9" customFormat="false" ht="6" hidden="false" customHeight="true" outlineLevel="0" collapsed="false">
      <c r="A9" s="44"/>
      <c r="B9" s="44"/>
      <c r="C9" s="44"/>
    </row>
    <row r="10" customFormat="false" ht="15" hidden="false" customHeight="false" outlineLevel="0" collapsed="false">
      <c r="A10" s="43" t="s">
        <v>199</v>
      </c>
      <c r="B10" s="39" t="str">
        <f aca="false">"encapsulation dot1Q "&amp;20</f>
        <v>encapsulation dot1Q 20</v>
      </c>
      <c r="C10" s="39" t="s">
        <v>200</v>
      </c>
    </row>
    <row r="11" customFormat="false" ht="15" hidden="false" customHeight="false" outlineLevel="0" collapsed="false">
      <c r="A11" s="43" t="s">
        <v>199</v>
      </c>
      <c r="B11" s="39" t="str">
        <f aca="false">"ip address 192.168.1."&amp;INDEX('3_VLSM_IPv4'!$K$8:$K$11, MATCH(20,'3_VLSM_IPv4'!$B$8:$B$11,0))&amp;" "&amp;INDEX('3_VLSM_IPv4'!$N$8:$N$11, MATCH(20,'3_VLSM_IPv4'!$B$8:$B$11,0))</f>
        <v>ip address 192.168.1.129 255.255.255.192</v>
      </c>
      <c r="C11" s="39" t="s">
        <v>195</v>
      </c>
    </row>
    <row r="12" customFormat="false" ht="15" hidden="false" customHeight="false" outlineLevel="0" collapsed="false">
      <c r="A12" s="43" t="s">
        <v>199</v>
      </c>
      <c r="B12" s="39" t="str">
        <f aca="false">"ipv6 address 2001:DB8:ACAD:"&amp;20&amp;"::1/64"</f>
        <v>ipv6 address 2001:DB8:ACAD:20::1/64</v>
      </c>
      <c r="C12" s="39" t="s">
        <v>196</v>
      </c>
    </row>
    <row r="13" customFormat="false" ht="15" hidden="false" customHeight="false" outlineLevel="0" collapsed="false">
      <c r="A13" s="43" t="s">
        <v>199</v>
      </c>
      <c r="B13" s="39" t="s">
        <v>197</v>
      </c>
      <c r="C13" s="39" t="s">
        <v>198</v>
      </c>
    </row>
    <row r="14" customFormat="false" ht="6" hidden="false" customHeight="true" outlineLevel="0" collapsed="false">
      <c r="A14" s="44"/>
      <c r="B14" s="44"/>
      <c r="C14" s="44"/>
    </row>
    <row r="15" customFormat="false" ht="15" hidden="false" customHeight="false" outlineLevel="0" collapsed="false">
      <c r="A15" s="43" t="s">
        <v>201</v>
      </c>
      <c r="B15" s="39" t="str">
        <f aca="false">"encapsulation dot1Q "&amp;30</f>
        <v>encapsulation dot1Q 30</v>
      </c>
      <c r="C15" s="39" t="s">
        <v>202</v>
      </c>
    </row>
    <row r="16" customFormat="false" ht="15" hidden="false" customHeight="false" outlineLevel="0" collapsed="false">
      <c r="A16" s="43" t="s">
        <v>201</v>
      </c>
      <c r="B16" s="39" t="str">
        <f aca="false">"ip address 192.168.1."&amp;INDEX('3_VLSM_IPv4'!$K$8:$K$11, MATCH(30,'3_VLSM_IPv4'!$B$8:$B$11,0))&amp;" "&amp;INDEX('3_VLSM_IPv4'!$N$8:$N$11, MATCH(30,'3_VLSM_IPv4'!$B$8:$B$11,0))</f>
        <v>ip address 192.168.1.225 255.255.255.224</v>
      </c>
      <c r="C16" s="39" t="s">
        <v>195</v>
      </c>
    </row>
    <row r="17" customFormat="false" ht="15" hidden="false" customHeight="false" outlineLevel="0" collapsed="false">
      <c r="A17" s="43" t="s">
        <v>201</v>
      </c>
      <c r="B17" s="39" t="str">
        <f aca="false">"ipv6 address 2001:DB8:ACAD:"&amp;30&amp;"::1/64"</f>
        <v>ipv6 address 2001:DB8:ACAD:30::1/64</v>
      </c>
      <c r="C17" s="39" t="s">
        <v>196</v>
      </c>
    </row>
    <row r="18" customFormat="false" ht="15" hidden="false" customHeight="false" outlineLevel="0" collapsed="false">
      <c r="A18" s="43" t="s">
        <v>201</v>
      </c>
      <c r="B18" s="39" t="s">
        <v>197</v>
      </c>
      <c r="C18" s="39" t="s">
        <v>198</v>
      </c>
    </row>
    <row r="19" customFormat="false" ht="6" hidden="false" customHeight="true" outlineLevel="0" collapsed="false">
      <c r="A19" s="44"/>
      <c r="B19" s="44"/>
      <c r="C19" s="44"/>
    </row>
    <row r="20" customFormat="false" ht="15" hidden="false" customHeight="false" outlineLevel="0" collapsed="false">
      <c r="A20" s="43" t="s">
        <v>203</v>
      </c>
      <c r="B20" s="39" t="str">
        <f aca="false">"encapsulation dot1Q "&amp;40</f>
        <v>encapsulation dot1Q 40</v>
      </c>
      <c r="C20" s="39" t="s">
        <v>204</v>
      </c>
    </row>
    <row r="21" customFormat="false" ht="15" hidden="false" customHeight="false" outlineLevel="0" collapsed="false">
      <c r="A21" s="43" t="s">
        <v>203</v>
      </c>
      <c r="B21" s="39" t="str">
        <f aca="false">"ip address 192.168.1."&amp;INDEX('3_VLSM_IPv4'!$K$8:$K$11, MATCH(40,'3_VLSM_IPv4'!$B$8:$B$11,0))&amp;" "&amp;INDEX('3_VLSM_IPv4'!$N$8:$N$11, MATCH(40,'3_VLSM_IPv4'!$B$8:$B$11,0))</f>
        <v>ip address 192.168.1.1 255.255.255.128</v>
      </c>
      <c r="C21" s="39" t="s">
        <v>195</v>
      </c>
    </row>
    <row r="22" customFormat="false" ht="15" hidden="false" customHeight="false" outlineLevel="0" collapsed="false">
      <c r="A22" s="43" t="s">
        <v>203</v>
      </c>
      <c r="B22" s="39" t="str">
        <f aca="false">"ipv6 address 2001:DB8:ACAD:"&amp;40&amp;"::1/64"</f>
        <v>ipv6 address 2001:DB8:ACAD:40::1/64</v>
      </c>
      <c r="C22" s="39" t="s">
        <v>196</v>
      </c>
    </row>
    <row r="23" customFormat="false" ht="15" hidden="false" customHeight="false" outlineLevel="0" collapsed="false">
      <c r="A23" s="43" t="s">
        <v>203</v>
      </c>
      <c r="B23" s="39" t="s">
        <v>197</v>
      </c>
      <c r="C23" s="39" t="s">
        <v>198</v>
      </c>
    </row>
    <row r="24" customFormat="false" ht="6" hidden="false" customHeight="true" outlineLevel="0" collapsed="false">
      <c r="A24" s="44"/>
      <c r="B24" s="44"/>
      <c r="C24" s="44"/>
    </row>
    <row r="26" customFormat="false" ht="21.75" hidden="false" customHeight="true" outlineLevel="0" collapsed="false">
      <c r="A26" s="6" t="s">
        <v>205</v>
      </c>
      <c r="B26" s="6"/>
      <c r="C26" s="6"/>
    </row>
    <row r="27" customFormat="false" ht="18" hidden="false" customHeight="true" outlineLevel="0" collapsed="false">
      <c r="A27" s="45" t="s">
        <v>206</v>
      </c>
      <c r="B27" s="13" t="s">
        <v>207</v>
      </c>
      <c r="C27" s="39" t="s">
        <v>208</v>
      </c>
    </row>
    <row r="28" customFormat="false" ht="18" hidden="false" customHeight="true" outlineLevel="0" collapsed="false">
      <c r="A28" s="45" t="s">
        <v>206</v>
      </c>
      <c r="B28" s="13" t="s">
        <v>209</v>
      </c>
      <c r="C28" s="39" t="s">
        <v>210</v>
      </c>
    </row>
    <row r="29" customFormat="false" ht="18" hidden="false" customHeight="true" outlineLevel="0" collapsed="false">
      <c r="A29" s="45" t="s">
        <v>206</v>
      </c>
      <c r="B29" s="13" t="s">
        <v>211</v>
      </c>
      <c r="C29" s="39" t="s">
        <v>212</v>
      </c>
    </row>
    <row r="30" customFormat="false" ht="18" hidden="false" customHeight="true" outlineLevel="0" collapsed="false">
      <c r="A30" s="45" t="s">
        <v>206</v>
      </c>
      <c r="B30" s="13" t="s">
        <v>213</v>
      </c>
      <c r="C30" s="39" t="s">
        <v>214</v>
      </c>
    </row>
    <row r="31" customFormat="false" ht="18" hidden="false" customHeight="true" outlineLevel="0" collapsed="false">
      <c r="A31" s="45" t="s">
        <v>206</v>
      </c>
      <c r="B31" s="13" t="s">
        <v>215</v>
      </c>
      <c r="C31" s="39" t="s">
        <v>216</v>
      </c>
    </row>
    <row r="32" customFormat="false" ht="18" hidden="false" customHeight="true" outlineLevel="0" collapsed="false">
      <c r="A32" s="45" t="s">
        <v>206</v>
      </c>
      <c r="B32" s="13" t="s">
        <v>197</v>
      </c>
      <c r="C32" s="39" t="s">
        <v>217</v>
      </c>
    </row>
    <row r="33" customFormat="false" ht="18" hidden="false" customHeight="true" outlineLevel="0" collapsed="false">
      <c r="A33" s="45" t="s">
        <v>206</v>
      </c>
      <c r="B33" s="13" t="s">
        <v>218</v>
      </c>
      <c r="C33" s="39" t="s">
        <v>219</v>
      </c>
    </row>
  </sheetData>
  <mergeCells count="7">
    <mergeCell ref="A1:C1"/>
    <mergeCell ref="A2:C2"/>
    <mergeCell ref="A9:C9"/>
    <mergeCell ref="A14:C14"/>
    <mergeCell ref="A19:C19"/>
    <mergeCell ref="A24:C24"/>
    <mergeCell ref="A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2026-04-22T23:48:10Z</dcterms:created>
  <dc:creator>openpyxl</dc:creator>
  <dc:description/>
  <dc:language>en-US</dc:language>
  <cp:lastModifiedBy/>
  <dcterms:modified xsi:type="dcterms:W3CDTF">2026-04-22T23:48:10Z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